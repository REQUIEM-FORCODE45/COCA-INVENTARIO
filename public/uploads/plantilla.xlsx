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D\Downloads\"/>
    </mc:Choice>
  </mc:AlternateContent>
  <xr:revisionPtr revIDLastSave="0" documentId="13_ncr:1_{62307CB2-0800-40A9-9C7C-CE46E68558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IFICAR CODIGOS " sheetId="2" r:id="rId1"/>
    <sheet name="PLANTILLA INV. PISO (0)" sheetId="3" r:id="rId2"/>
    <sheet name="INVENTARIO PISO " sheetId="4" r:id="rId3"/>
    <sheet name="CANTIDADES " sheetId="5" r:id="rId4"/>
  </sheets>
  <definedNames>
    <definedName name="_xlnm._FilterDatabase" localSheetId="3" hidden="1">'CANTIDADES '!$B$37:$C$487</definedName>
    <definedName name="_xlnm._FilterDatabase" localSheetId="2" hidden="1">'INVENTARIO PISO '!$A$4:$D$495</definedName>
    <definedName name="_xlnm._FilterDatabase" localSheetId="1" hidden="1">'PLANTILLA INV. PISO (0)'!$A$1:$AA$489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5" i="5" l="1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X18" i="3" s="1"/>
  <c r="W19" i="3"/>
  <c r="W20" i="3"/>
  <c r="W21" i="3"/>
  <c r="W22" i="3"/>
  <c r="X22" i="3" s="1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X58" i="3" s="1"/>
  <c r="W59" i="3"/>
  <c r="W60" i="3"/>
  <c r="W61" i="3"/>
  <c r="W62" i="3"/>
  <c r="X62" i="3" s="1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X86" i="3" s="1"/>
  <c r="W87" i="3"/>
  <c r="W88" i="3"/>
  <c r="W89" i="3"/>
  <c r="W90" i="3"/>
  <c r="W91" i="3"/>
  <c r="W92" i="3"/>
  <c r="W93" i="3"/>
  <c r="W94" i="3"/>
  <c r="W95" i="3"/>
  <c r="W96" i="3"/>
  <c r="W97" i="3"/>
  <c r="W98" i="3"/>
  <c r="X98" i="3" s="1"/>
  <c r="W99" i="3"/>
  <c r="W100" i="3"/>
  <c r="W101" i="3"/>
  <c r="W102" i="3"/>
  <c r="X102" i="3" s="1"/>
  <c r="W103" i="3"/>
  <c r="W104" i="3"/>
  <c r="W105" i="3"/>
  <c r="W106" i="3"/>
  <c r="X106" i="3" s="1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X122" i="3" s="1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60" i="3"/>
  <c r="W161" i="3"/>
  <c r="W162" i="3"/>
  <c r="W163" i="3"/>
  <c r="W164" i="3"/>
  <c r="W165" i="3"/>
  <c r="W166" i="3"/>
  <c r="W167" i="3"/>
  <c r="W168" i="3"/>
  <c r="W169" i="3"/>
  <c r="W171" i="3"/>
  <c r="W172" i="3"/>
  <c r="X172" i="3" s="1"/>
  <c r="W173" i="3"/>
  <c r="W174" i="3"/>
  <c r="W175" i="3"/>
  <c r="W176" i="3"/>
  <c r="X176" i="3" s="1"/>
  <c r="W177" i="3"/>
  <c r="W178" i="3"/>
  <c r="W179" i="3"/>
  <c r="W180" i="3"/>
  <c r="X180" i="3" s="1"/>
  <c r="W181" i="3"/>
  <c r="W182" i="3"/>
  <c r="W183" i="3"/>
  <c r="W184" i="3"/>
  <c r="W185" i="3"/>
  <c r="W186" i="3"/>
  <c r="W187" i="3"/>
  <c r="W188" i="3"/>
  <c r="W189" i="3"/>
  <c r="W190" i="3"/>
  <c r="W191" i="3"/>
  <c r="W192" i="3"/>
  <c r="X192" i="3" s="1"/>
  <c r="W193" i="3"/>
  <c r="W194" i="3"/>
  <c r="W195" i="3"/>
  <c r="W196" i="3"/>
  <c r="X196" i="3" s="1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X248" i="3" s="1"/>
  <c r="W249" i="3"/>
  <c r="W250" i="3"/>
  <c r="W251" i="3"/>
  <c r="W252" i="3"/>
  <c r="X252" i="3" s="1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X272" i="3" s="1"/>
  <c r="W273" i="3"/>
  <c r="W274" i="3"/>
  <c r="W275" i="3"/>
  <c r="W276" i="3"/>
  <c r="W277" i="3"/>
  <c r="W278" i="3"/>
  <c r="W279" i="3"/>
  <c r="W280" i="3"/>
  <c r="W281" i="3"/>
  <c r="W282" i="3"/>
  <c r="W283" i="3"/>
  <c r="W284" i="3"/>
  <c r="X284" i="3" s="1"/>
  <c r="W285" i="3"/>
  <c r="W286" i="3"/>
  <c r="W287" i="3"/>
  <c r="W288" i="3"/>
  <c r="X288" i="3" s="1"/>
  <c r="W289" i="3"/>
  <c r="W290" i="3"/>
  <c r="W291" i="3"/>
  <c r="W292" i="3"/>
  <c r="X292" i="3" s="1"/>
  <c r="W293" i="3"/>
  <c r="W294" i="3"/>
  <c r="W295" i="3"/>
  <c r="W296" i="3"/>
  <c r="W297" i="3"/>
  <c r="W298" i="3"/>
  <c r="W299" i="3"/>
  <c r="W300" i="3"/>
  <c r="W301" i="3"/>
  <c r="W302" i="3"/>
  <c r="W303" i="3"/>
  <c r="W304" i="3"/>
  <c r="X304" i="3" s="1"/>
  <c r="W305" i="3"/>
  <c r="W306" i="3"/>
  <c r="W307" i="3"/>
  <c r="W308" i="3"/>
  <c r="X308" i="3" s="1"/>
  <c r="W309" i="3"/>
  <c r="W310" i="3"/>
  <c r="W311" i="3"/>
  <c r="W312" i="3"/>
  <c r="X312" i="3" s="1"/>
  <c r="W313" i="3"/>
  <c r="W314" i="3"/>
  <c r="W315" i="3"/>
  <c r="W316" i="3"/>
  <c r="X316" i="3" s="1"/>
  <c r="W317" i="3"/>
  <c r="W318" i="3"/>
  <c r="W319" i="3"/>
  <c r="W320" i="3"/>
  <c r="X320" i="3" s="1"/>
  <c r="W321" i="3"/>
  <c r="W322" i="3"/>
  <c r="W323" i="3"/>
  <c r="W324" i="3"/>
  <c r="X324" i="3" s="1"/>
  <c r="W325" i="3"/>
  <c r="W326" i="3"/>
  <c r="W327" i="3"/>
  <c r="W328" i="3"/>
  <c r="X328" i="3" s="1"/>
  <c r="W329" i="3"/>
  <c r="W330" i="3"/>
  <c r="W331" i="3"/>
  <c r="W332" i="3"/>
  <c r="X332" i="3" s="1"/>
  <c r="W333" i="3"/>
  <c r="W334" i="3"/>
  <c r="W335" i="3"/>
  <c r="W336" i="3"/>
  <c r="X336" i="3" s="1"/>
  <c r="W337" i="3"/>
  <c r="W338" i="3"/>
  <c r="W339" i="3"/>
  <c r="W340" i="3"/>
  <c r="X340" i="3" s="1"/>
  <c r="W341" i="3"/>
  <c r="W342" i="3"/>
  <c r="W343" i="3"/>
  <c r="W344" i="3"/>
  <c r="X344" i="3" s="1"/>
  <c r="W345" i="3"/>
  <c r="W346" i="3"/>
  <c r="W347" i="3"/>
  <c r="W348" i="3"/>
  <c r="X348" i="3" s="1"/>
  <c r="W349" i="3"/>
  <c r="W350" i="3"/>
  <c r="W351" i="3"/>
  <c r="W352" i="3"/>
  <c r="W353" i="3"/>
  <c r="W354" i="3"/>
  <c r="W355" i="3"/>
  <c r="W356" i="3"/>
  <c r="X356" i="3" s="1"/>
  <c r="W357" i="3"/>
  <c r="W358" i="3"/>
  <c r="W359" i="3"/>
  <c r="W360" i="3"/>
  <c r="X360" i="3" s="1"/>
  <c r="W361" i="3"/>
  <c r="W362" i="3"/>
  <c r="W363" i="3"/>
  <c r="W364" i="3"/>
  <c r="X364" i="3" s="1"/>
  <c r="W365" i="3"/>
  <c r="W366" i="3"/>
  <c r="W367" i="3"/>
  <c r="W368" i="3"/>
  <c r="W369" i="3"/>
  <c r="W370" i="3"/>
  <c r="W371" i="3"/>
  <c r="W372" i="3"/>
  <c r="X372" i="3" s="1"/>
  <c r="W373" i="3"/>
  <c r="W374" i="3"/>
  <c r="W375" i="3"/>
  <c r="W376" i="3"/>
  <c r="W377" i="3"/>
  <c r="W378" i="3"/>
  <c r="W379" i="3"/>
  <c r="W380" i="3"/>
  <c r="X380" i="3" s="1"/>
  <c r="W381" i="3"/>
  <c r="W382" i="3"/>
  <c r="W383" i="3"/>
  <c r="W384" i="3"/>
  <c r="X384" i="3" s="1"/>
  <c r="W385" i="3"/>
  <c r="W386" i="3"/>
  <c r="W387" i="3"/>
  <c r="W388" i="3"/>
  <c r="X388" i="3" s="1"/>
  <c r="W389" i="3"/>
  <c r="W390" i="3"/>
  <c r="W391" i="3"/>
  <c r="W392" i="3"/>
  <c r="X392" i="3" s="1"/>
  <c r="W393" i="3"/>
  <c r="W394" i="3"/>
  <c r="W395" i="3"/>
  <c r="W396" i="3"/>
  <c r="W397" i="3"/>
  <c r="W398" i="3"/>
  <c r="W399" i="3"/>
  <c r="W400" i="3"/>
  <c r="X400" i="3" s="1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V3" i="3"/>
  <c r="X3" i="3" s="1"/>
  <c r="V4" i="3"/>
  <c r="V5" i="3"/>
  <c r="X5" i="3" s="1"/>
  <c r="V6" i="3"/>
  <c r="V7" i="3"/>
  <c r="V8" i="3"/>
  <c r="V9" i="3"/>
  <c r="X9" i="3" s="1"/>
  <c r="V10" i="3"/>
  <c r="V11" i="3"/>
  <c r="V12" i="3"/>
  <c r="V13" i="3"/>
  <c r="V14" i="3"/>
  <c r="V15" i="3"/>
  <c r="V16" i="3"/>
  <c r="V17" i="3"/>
  <c r="V18" i="3"/>
  <c r="V19" i="3"/>
  <c r="V20" i="3"/>
  <c r="X20" i="3" s="1"/>
  <c r="V21" i="3"/>
  <c r="X21" i="3" s="1"/>
  <c r="V22" i="3"/>
  <c r="V23" i="3"/>
  <c r="V24" i="3"/>
  <c r="V25" i="3"/>
  <c r="X25" i="3" s="1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X40" i="3" s="1"/>
  <c r="V41" i="3"/>
  <c r="X41" i="3" s="1"/>
  <c r="V42" i="3"/>
  <c r="V43" i="3"/>
  <c r="V44" i="3"/>
  <c r="X44" i="3" s="1"/>
  <c r="V45" i="3"/>
  <c r="X45" i="3" s="1"/>
  <c r="V46" i="3"/>
  <c r="V47" i="3"/>
  <c r="X47" i="3" s="1"/>
  <c r="V48" i="3"/>
  <c r="X48" i="3" s="1"/>
  <c r="V49" i="3"/>
  <c r="X49" i="3" s="1"/>
  <c r="V50" i="3"/>
  <c r="V51" i="3"/>
  <c r="X51" i="3" s="1"/>
  <c r="V52" i="3"/>
  <c r="V53" i="3"/>
  <c r="X53" i="3" s="1"/>
  <c r="V54" i="3"/>
  <c r="V55" i="3"/>
  <c r="V56" i="3"/>
  <c r="V57" i="3"/>
  <c r="X57" i="3" s="1"/>
  <c r="V58" i="3"/>
  <c r="V59" i="3"/>
  <c r="X59" i="3" s="1"/>
  <c r="V60" i="3"/>
  <c r="V61" i="3"/>
  <c r="V62" i="3"/>
  <c r="V63" i="3"/>
  <c r="V64" i="3"/>
  <c r="V65" i="3"/>
  <c r="V66" i="3"/>
  <c r="V67" i="3"/>
  <c r="V68" i="3"/>
  <c r="X68" i="3" s="1"/>
  <c r="V69" i="3"/>
  <c r="V70" i="3"/>
  <c r="V71" i="3"/>
  <c r="V72" i="3"/>
  <c r="X72" i="3" s="1"/>
  <c r="V73" i="3"/>
  <c r="X73" i="3" s="1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X89" i="3" s="1"/>
  <c r="V90" i="3"/>
  <c r="V91" i="3"/>
  <c r="X91" i="3" s="1"/>
  <c r="V92" i="3"/>
  <c r="X92" i="3" s="1"/>
  <c r="V93" i="3"/>
  <c r="X93" i="3" s="1"/>
  <c r="V94" i="3"/>
  <c r="V95" i="3"/>
  <c r="X95" i="3" s="1"/>
  <c r="V96" i="3"/>
  <c r="V97" i="3"/>
  <c r="V98" i="3"/>
  <c r="V99" i="3"/>
  <c r="X99" i="3" s="1"/>
  <c r="V100" i="3"/>
  <c r="V101" i="3"/>
  <c r="V102" i="3"/>
  <c r="V103" i="3"/>
  <c r="X103" i="3" s="1"/>
  <c r="V104" i="3"/>
  <c r="X104" i="3" s="1"/>
  <c r="V105" i="3"/>
  <c r="V106" i="3"/>
  <c r="V107" i="3"/>
  <c r="X107" i="3" s="1"/>
  <c r="V108" i="3"/>
  <c r="V109" i="3"/>
  <c r="V110" i="3"/>
  <c r="V111" i="3"/>
  <c r="V112" i="3"/>
  <c r="X112" i="3" s="1"/>
  <c r="V113" i="3"/>
  <c r="V114" i="3"/>
  <c r="V115" i="3"/>
  <c r="X115" i="3" s="1"/>
  <c r="V116" i="3"/>
  <c r="V117" i="3"/>
  <c r="V118" i="3"/>
  <c r="V119" i="3"/>
  <c r="V120" i="3"/>
  <c r="X120" i="3" s="1"/>
  <c r="V121" i="3"/>
  <c r="X121" i="3" s="1"/>
  <c r="V122" i="3"/>
  <c r="V123" i="3"/>
  <c r="V124" i="3"/>
  <c r="X124" i="3" s="1"/>
  <c r="V125" i="3"/>
  <c r="X125" i="3" s="1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X145" i="3" s="1"/>
  <c r="V146" i="3"/>
  <c r="V147" i="3"/>
  <c r="V148" i="3"/>
  <c r="V149" i="3"/>
  <c r="V150" i="3"/>
  <c r="V151" i="3"/>
  <c r="V152" i="3"/>
  <c r="X152" i="3" s="1"/>
  <c r="V153" i="3"/>
  <c r="V154" i="3"/>
  <c r="V155" i="3"/>
  <c r="X155" i="3" s="1"/>
  <c r="V156" i="3"/>
  <c r="X156" i="3" s="1"/>
  <c r="V157" i="3"/>
  <c r="X157" i="3" s="1"/>
  <c r="V158" i="3"/>
  <c r="V160" i="3"/>
  <c r="V161" i="3"/>
  <c r="V162" i="3"/>
  <c r="V163" i="3"/>
  <c r="V164" i="3"/>
  <c r="V165" i="3"/>
  <c r="V166" i="3"/>
  <c r="V167" i="3"/>
  <c r="V168" i="3"/>
  <c r="V169" i="3"/>
  <c r="V171" i="3"/>
  <c r="V172" i="3"/>
  <c r="V173" i="3"/>
  <c r="V174" i="3"/>
  <c r="V175" i="3"/>
  <c r="X175" i="3" s="1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X191" i="3" s="1"/>
  <c r="V192" i="3"/>
  <c r="V193" i="3"/>
  <c r="V194" i="3"/>
  <c r="V195" i="3"/>
  <c r="X195" i="3" s="1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X219" i="3" s="1"/>
  <c r="V220" i="3"/>
  <c r="V221" i="3"/>
  <c r="V222" i="3"/>
  <c r="V223" i="3"/>
  <c r="V224" i="3"/>
  <c r="V225" i="3"/>
  <c r="V226" i="3"/>
  <c r="V227" i="3"/>
  <c r="X227" i="3" s="1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X255" i="3" s="1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X271" i="3" s="1"/>
  <c r="V272" i="3"/>
  <c r="V273" i="3"/>
  <c r="V274" i="3"/>
  <c r="V275" i="3"/>
  <c r="X275" i="3" s="1"/>
  <c r="V276" i="3"/>
  <c r="V277" i="3"/>
  <c r="V278" i="3"/>
  <c r="V279" i="3"/>
  <c r="V280" i="3"/>
  <c r="V281" i="3"/>
  <c r="V282" i="3"/>
  <c r="V283" i="3"/>
  <c r="X283" i="3" s="1"/>
  <c r="V284" i="3"/>
  <c r="V285" i="3"/>
  <c r="V286" i="3"/>
  <c r="V287" i="3"/>
  <c r="V288" i="3"/>
  <c r="V289" i="3"/>
  <c r="V290" i="3"/>
  <c r="V291" i="3"/>
  <c r="X291" i="3" s="1"/>
  <c r="V292" i="3"/>
  <c r="V293" i="3"/>
  <c r="V294" i="3"/>
  <c r="V295" i="3"/>
  <c r="V296" i="3"/>
  <c r="V297" i="3"/>
  <c r="V298" i="3"/>
  <c r="V299" i="3"/>
  <c r="V300" i="3"/>
  <c r="V301" i="3"/>
  <c r="V302" i="3"/>
  <c r="V303" i="3"/>
  <c r="X303" i="3" s="1"/>
  <c r="V304" i="3"/>
  <c r="V305" i="3"/>
  <c r="V306" i="3"/>
  <c r="V307" i="3"/>
  <c r="X307" i="3" s="1"/>
  <c r="V308" i="3"/>
  <c r="V309" i="3"/>
  <c r="V310" i="3"/>
  <c r="V311" i="3"/>
  <c r="V312" i="3"/>
  <c r="V313" i="3"/>
  <c r="V314" i="3"/>
  <c r="V315" i="3"/>
  <c r="X315" i="3" s="1"/>
  <c r="V316" i="3"/>
  <c r="V317" i="3"/>
  <c r="V318" i="3"/>
  <c r="V319" i="3"/>
  <c r="V320" i="3"/>
  <c r="V321" i="3"/>
  <c r="V322" i="3"/>
  <c r="V323" i="3"/>
  <c r="X323" i="3" s="1"/>
  <c r="V324" i="3"/>
  <c r="V325" i="3"/>
  <c r="V326" i="3"/>
  <c r="V327" i="3"/>
  <c r="X327" i="3" s="1"/>
  <c r="V328" i="3"/>
  <c r="V329" i="3"/>
  <c r="V330" i="3"/>
  <c r="V331" i="3"/>
  <c r="X331" i="3" s="1"/>
  <c r="V332" i="3"/>
  <c r="V333" i="3"/>
  <c r="V334" i="3"/>
  <c r="V335" i="3"/>
  <c r="X335" i="3" s="1"/>
  <c r="V336" i="3"/>
  <c r="V337" i="3"/>
  <c r="V338" i="3"/>
  <c r="V339" i="3"/>
  <c r="X339" i="3" s="1"/>
  <c r="V340" i="3"/>
  <c r="V341" i="3"/>
  <c r="V342" i="3"/>
  <c r="V343" i="3"/>
  <c r="V344" i="3"/>
  <c r="V345" i="3"/>
  <c r="V346" i="3"/>
  <c r="V347" i="3"/>
  <c r="X347" i="3" s="1"/>
  <c r="V348" i="3"/>
  <c r="V349" i="3"/>
  <c r="V350" i="3"/>
  <c r="V351" i="3"/>
  <c r="V352" i="3"/>
  <c r="V353" i="3"/>
  <c r="V354" i="3"/>
  <c r="V355" i="3"/>
  <c r="X355" i="3" s="1"/>
  <c r="V356" i="3"/>
  <c r="V357" i="3"/>
  <c r="V358" i="3"/>
  <c r="V359" i="3"/>
  <c r="X359" i="3" s="1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X391" i="3" s="1"/>
  <c r="V392" i="3"/>
  <c r="V393" i="3"/>
  <c r="V394" i="3"/>
  <c r="V395" i="3"/>
  <c r="X395" i="3" s="1"/>
  <c r="V396" i="3"/>
  <c r="V397" i="3"/>
  <c r="V398" i="3"/>
  <c r="V399" i="3"/>
  <c r="X399" i="3" s="1"/>
  <c r="V400" i="3"/>
  <c r="V401" i="3"/>
  <c r="V402" i="3"/>
  <c r="V403" i="3"/>
  <c r="V404" i="3"/>
  <c r="V405" i="3"/>
  <c r="V406" i="3"/>
  <c r="V409" i="3"/>
  <c r="V410" i="3"/>
  <c r="V411" i="3"/>
  <c r="V412" i="3"/>
  <c r="V413" i="3"/>
  <c r="V414" i="3"/>
  <c r="V415" i="3"/>
  <c r="V416" i="3"/>
  <c r="V417" i="3"/>
  <c r="X417" i="3" s="1"/>
  <c r="V418" i="3"/>
  <c r="V419" i="3"/>
  <c r="V420" i="3"/>
  <c r="X420" i="3" s="1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X489" i="3" s="1"/>
  <c r="U454" i="3"/>
  <c r="U455" i="3"/>
  <c r="U456" i="3"/>
  <c r="U457" i="3"/>
  <c r="U458" i="3"/>
  <c r="U459" i="3"/>
  <c r="U461" i="3"/>
  <c r="U462" i="3"/>
  <c r="U463" i="3"/>
  <c r="U464" i="3"/>
  <c r="U465" i="3"/>
  <c r="U466" i="3"/>
  <c r="U467" i="3"/>
  <c r="U468" i="3"/>
  <c r="U469" i="3"/>
  <c r="D474" i="4"/>
  <c r="U471" i="3"/>
  <c r="U472" i="3"/>
  <c r="D477" i="4"/>
  <c r="F477" i="4" s="1"/>
  <c r="U474" i="3"/>
  <c r="U475" i="3"/>
  <c r="U477" i="3"/>
  <c r="U478" i="3"/>
  <c r="U480" i="3"/>
  <c r="U481" i="3"/>
  <c r="U482" i="3"/>
  <c r="U483" i="3"/>
  <c r="U485" i="3"/>
  <c r="U486" i="3"/>
  <c r="U487" i="3"/>
  <c r="U488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X276" i="3"/>
  <c r="X285" i="3"/>
  <c r="X289" i="3"/>
  <c r="X293" i="3"/>
  <c r="X295" i="3"/>
  <c r="X301" i="3"/>
  <c r="X309" i="3"/>
  <c r="X313" i="3"/>
  <c r="X319" i="3"/>
  <c r="X321" i="3"/>
  <c r="X325" i="3"/>
  <c r="X329" i="3"/>
  <c r="X333" i="3"/>
  <c r="X337" i="3"/>
  <c r="X349" i="3"/>
  <c r="X352" i="3"/>
  <c r="X353" i="3"/>
  <c r="X357" i="3"/>
  <c r="X369" i="3"/>
  <c r="X373" i="3"/>
  <c r="X381" i="3"/>
  <c r="X385" i="3"/>
  <c r="X389" i="3"/>
  <c r="X393" i="3"/>
  <c r="X397" i="3"/>
  <c r="X401" i="3"/>
  <c r="X409" i="3"/>
  <c r="U252" i="3"/>
  <c r="U253" i="3"/>
  <c r="U254" i="3"/>
  <c r="U255" i="3"/>
  <c r="U256" i="3"/>
  <c r="U257" i="3"/>
  <c r="U258" i="3"/>
  <c r="U259" i="3"/>
  <c r="D264" i="4"/>
  <c r="U261" i="3"/>
  <c r="U262" i="3"/>
  <c r="U263" i="3"/>
  <c r="D268" i="4"/>
  <c r="U265" i="3"/>
  <c r="U266" i="3"/>
  <c r="U267" i="3"/>
  <c r="U268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X197" i="3"/>
  <c r="U196" i="3"/>
  <c r="U197" i="3"/>
  <c r="U198" i="3"/>
  <c r="U199" i="3"/>
  <c r="U201" i="3"/>
  <c r="U202" i="3"/>
  <c r="U203" i="3"/>
  <c r="U204" i="3"/>
  <c r="U205" i="3"/>
  <c r="U206" i="3"/>
  <c r="D211" i="4"/>
  <c r="U208" i="3"/>
  <c r="U209" i="3"/>
  <c r="U210" i="3"/>
  <c r="U211" i="3"/>
  <c r="U212" i="3"/>
  <c r="U213" i="3"/>
  <c r="U214" i="3"/>
  <c r="U215" i="3"/>
  <c r="U217" i="3"/>
  <c r="U218" i="3"/>
  <c r="U219" i="3"/>
  <c r="U220" i="3"/>
  <c r="U221" i="3"/>
  <c r="U222" i="3"/>
  <c r="U223" i="3"/>
  <c r="U225" i="3"/>
  <c r="U226" i="3"/>
  <c r="U227" i="3"/>
  <c r="U229" i="3"/>
  <c r="U230" i="3"/>
  <c r="U231" i="3"/>
  <c r="U232" i="3"/>
  <c r="U233" i="3"/>
  <c r="U234" i="3"/>
  <c r="D239" i="4"/>
  <c r="F239" i="4" s="1"/>
  <c r="U236" i="3"/>
  <c r="U237" i="3"/>
  <c r="U238" i="3"/>
  <c r="U239" i="3"/>
  <c r="U240" i="3"/>
  <c r="U242" i="3"/>
  <c r="U243" i="3"/>
  <c r="U244" i="3"/>
  <c r="U245" i="3"/>
  <c r="U246" i="3"/>
  <c r="U248" i="3"/>
  <c r="U249" i="3"/>
  <c r="X144" i="3"/>
  <c r="X151" i="3"/>
  <c r="X164" i="3"/>
  <c r="X165" i="3"/>
  <c r="X168" i="3"/>
  <c r="X173" i="3"/>
  <c r="X177" i="3"/>
  <c r="X181" i="3"/>
  <c r="X189" i="3"/>
  <c r="U128" i="3"/>
  <c r="U129" i="3"/>
  <c r="U130" i="3"/>
  <c r="U131" i="3"/>
  <c r="U132" i="3"/>
  <c r="U133" i="3"/>
  <c r="U134" i="3"/>
  <c r="U135" i="3"/>
  <c r="U136" i="3"/>
  <c r="U137" i="3"/>
  <c r="U138" i="3"/>
  <c r="D143" i="4"/>
  <c r="F143" i="4" s="1"/>
  <c r="U140" i="3"/>
  <c r="U141" i="3"/>
  <c r="U142" i="3"/>
  <c r="U143" i="3"/>
  <c r="U144" i="3"/>
  <c r="U145" i="3"/>
  <c r="U146" i="3"/>
  <c r="D151" i="4"/>
  <c r="F151" i="4" s="1"/>
  <c r="U148" i="3"/>
  <c r="U149" i="3"/>
  <c r="D154" i="4"/>
  <c r="F154" i="4" s="1"/>
  <c r="G154" i="4" s="1"/>
  <c r="U151" i="3"/>
  <c r="U152" i="3"/>
  <c r="U153" i="3"/>
  <c r="U154" i="3"/>
  <c r="U155" i="3"/>
  <c r="U156" i="3"/>
  <c r="U157" i="3"/>
  <c r="U158" i="3"/>
  <c r="U160" i="3"/>
  <c r="U161" i="3"/>
  <c r="D166" i="4"/>
  <c r="F166" i="4" s="1"/>
  <c r="G166" i="4" s="1"/>
  <c r="U163" i="3"/>
  <c r="U164" i="3"/>
  <c r="U165" i="3"/>
  <c r="U166" i="3"/>
  <c r="U167" i="3"/>
  <c r="U168" i="3"/>
  <c r="D173" i="4"/>
  <c r="F173" i="4" s="1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D189" i="4"/>
  <c r="F189" i="4" s="1"/>
  <c r="G189" i="4" s="1"/>
  <c r="U186" i="3"/>
  <c r="U187" i="3"/>
  <c r="U188" i="3"/>
  <c r="U189" i="3"/>
  <c r="U190" i="3"/>
  <c r="U191" i="3"/>
  <c r="U192" i="3"/>
  <c r="U193" i="3"/>
  <c r="X100" i="3"/>
  <c r="X111" i="3"/>
  <c r="X116" i="3"/>
  <c r="X117" i="3"/>
  <c r="X123" i="3"/>
  <c r="U63" i="3"/>
  <c r="U64" i="3"/>
  <c r="U65" i="3"/>
  <c r="U66" i="3"/>
  <c r="U68" i="3"/>
  <c r="U69" i="3"/>
  <c r="U70" i="3"/>
  <c r="U71" i="3"/>
  <c r="U72" i="3"/>
  <c r="U73" i="3"/>
  <c r="D78" i="4"/>
  <c r="U75" i="3"/>
  <c r="U76" i="3"/>
  <c r="U77" i="3"/>
  <c r="U78" i="3"/>
  <c r="U80" i="3"/>
  <c r="U81" i="3"/>
  <c r="D86" i="4"/>
  <c r="U83" i="3"/>
  <c r="U84" i="3"/>
  <c r="U85" i="3"/>
  <c r="U86" i="3"/>
  <c r="D90" i="4" s="1"/>
  <c r="U87" i="3"/>
  <c r="U88" i="3"/>
  <c r="U89" i="3"/>
  <c r="D93" i="4" s="1"/>
  <c r="F93" i="4" s="1"/>
  <c r="U90" i="3"/>
  <c r="U91" i="3"/>
  <c r="U92" i="3"/>
  <c r="U93" i="3"/>
  <c r="U94" i="3"/>
  <c r="U95" i="3"/>
  <c r="D100" i="4"/>
  <c r="F100" i="4" s="1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D117" i="4"/>
  <c r="F117" i="4" s="1"/>
  <c r="G117" i="4" s="1"/>
  <c r="U114" i="3"/>
  <c r="U115" i="3"/>
  <c r="U116" i="3"/>
  <c r="U117" i="3"/>
  <c r="U118" i="3"/>
  <c r="U120" i="3"/>
  <c r="U121" i="3"/>
  <c r="U122" i="3"/>
  <c r="U123" i="3"/>
  <c r="U124" i="3"/>
  <c r="U125" i="3"/>
  <c r="X7" i="3"/>
  <c r="X8" i="3"/>
  <c r="X19" i="3"/>
  <c r="X23" i="3"/>
  <c r="X43" i="3"/>
  <c r="X55" i="3"/>
  <c r="U3" i="3"/>
  <c r="U4" i="3"/>
  <c r="U5" i="3"/>
  <c r="U6" i="3"/>
  <c r="U7" i="3"/>
  <c r="U8" i="3"/>
  <c r="U9" i="3"/>
  <c r="U10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D30" i="4"/>
  <c r="U27" i="3"/>
  <c r="U28" i="3"/>
  <c r="U29" i="3"/>
  <c r="U30" i="3"/>
  <c r="U31" i="3"/>
  <c r="U32" i="3"/>
  <c r="U33" i="3"/>
  <c r="U34" i="3"/>
  <c r="U35" i="3"/>
  <c r="U36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3" i="3"/>
  <c r="U54" i="3"/>
  <c r="U55" i="3"/>
  <c r="D60" i="4"/>
  <c r="F60" i="4" s="1"/>
  <c r="U57" i="3"/>
  <c r="U58" i="3"/>
  <c r="U59" i="3"/>
  <c r="U60" i="3"/>
  <c r="D41" i="4"/>
  <c r="Y424" i="3"/>
  <c r="AB424" i="3" s="1"/>
  <c r="Y425" i="3"/>
  <c r="AB425" i="3" s="1"/>
  <c r="Y426" i="3"/>
  <c r="AB426" i="3" s="1"/>
  <c r="Y427" i="3"/>
  <c r="AB427" i="3" s="1"/>
  <c r="Y428" i="3"/>
  <c r="AB428" i="3" s="1"/>
  <c r="Y429" i="3"/>
  <c r="AB429" i="3" s="1"/>
  <c r="Y430" i="3"/>
  <c r="AB430" i="3" s="1"/>
  <c r="Y431" i="3"/>
  <c r="AB431" i="3" s="1"/>
  <c r="Y432" i="3"/>
  <c r="AB432" i="3" s="1"/>
  <c r="Y433" i="3"/>
  <c r="AB433" i="3" s="1"/>
  <c r="Y434" i="3"/>
  <c r="AB434" i="3" s="1"/>
  <c r="Y435" i="3"/>
  <c r="AB435" i="3" s="1"/>
  <c r="Y436" i="3"/>
  <c r="AB436" i="3" s="1"/>
  <c r="Y437" i="3"/>
  <c r="AB437" i="3" s="1"/>
  <c r="Y438" i="3"/>
  <c r="AB438" i="3" s="1"/>
  <c r="Y439" i="3"/>
  <c r="AB439" i="3" s="1"/>
  <c r="Y440" i="3"/>
  <c r="AB440" i="3" s="1"/>
  <c r="Y441" i="3"/>
  <c r="AB441" i="3" s="1"/>
  <c r="Y442" i="3"/>
  <c r="AB442" i="3" s="1"/>
  <c r="Y443" i="3"/>
  <c r="AB443" i="3" s="1"/>
  <c r="Y444" i="3"/>
  <c r="AB444" i="3" s="1"/>
  <c r="Y445" i="3"/>
  <c r="AB445" i="3" s="1"/>
  <c r="Y446" i="3"/>
  <c r="AB446" i="3" s="1"/>
  <c r="Y447" i="3"/>
  <c r="AB447" i="3" s="1"/>
  <c r="Y448" i="3"/>
  <c r="AB448" i="3" s="1"/>
  <c r="Y449" i="3"/>
  <c r="AB449" i="3" s="1"/>
  <c r="Y450" i="3"/>
  <c r="AB450" i="3" s="1"/>
  <c r="Y451" i="3"/>
  <c r="AB451" i="3" s="1"/>
  <c r="Y252" i="3"/>
  <c r="AB252" i="3" s="1"/>
  <c r="Y253" i="3"/>
  <c r="AB253" i="3" s="1"/>
  <c r="Y254" i="3"/>
  <c r="AB254" i="3" s="1"/>
  <c r="Y255" i="3"/>
  <c r="AB255" i="3" s="1"/>
  <c r="Y256" i="3"/>
  <c r="AB256" i="3" s="1"/>
  <c r="Y257" i="3"/>
  <c r="AB257" i="3" s="1"/>
  <c r="Y258" i="3"/>
  <c r="AB258" i="3" s="1"/>
  <c r="Y259" i="3"/>
  <c r="AB259" i="3" s="1"/>
  <c r="AB260" i="3"/>
  <c r="Y261" i="3"/>
  <c r="AB261" i="3" s="1"/>
  <c r="Y262" i="3"/>
  <c r="AB262" i="3" s="1"/>
  <c r="Y263" i="3"/>
  <c r="AB263" i="3" s="1"/>
  <c r="AB264" i="3"/>
  <c r="Y265" i="3"/>
  <c r="AB265" i="3" s="1"/>
  <c r="Y266" i="3"/>
  <c r="AB266" i="3" s="1"/>
  <c r="Y267" i="3"/>
  <c r="AB267" i="3" s="1"/>
  <c r="Y268" i="3"/>
  <c r="AB268" i="3" s="1"/>
  <c r="AB269" i="3"/>
  <c r="Y270" i="3"/>
  <c r="AB270" i="3" s="1"/>
  <c r="Y271" i="3"/>
  <c r="AB271" i="3" s="1"/>
  <c r="Y272" i="3"/>
  <c r="AB272" i="3" s="1"/>
  <c r="Y273" i="3"/>
  <c r="AB273" i="3" s="1"/>
  <c r="Y274" i="3"/>
  <c r="AB274" i="3" s="1"/>
  <c r="Y275" i="3"/>
  <c r="AB275" i="3" s="1"/>
  <c r="Y276" i="3"/>
  <c r="AB276" i="3" s="1"/>
  <c r="Y277" i="3"/>
  <c r="AB277" i="3" s="1"/>
  <c r="Y278" i="3"/>
  <c r="AB278" i="3" s="1"/>
  <c r="Y279" i="3"/>
  <c r="AB279" i="3" s="1"/>
  <c r="Y280" i="3"/>
  <c r="AB280" i="3" s="1"/>
  <c r="Y281" i="3"/>
  <c r="AB281" i="3" s="1"/>
  <c r="Y282" i="3"/>
  <c r="AB282" i="3" s="1"/>
  <c r="Y283" i="3"/>
  <c r="AB283" i="3" s="1"/>
  <c r="Y284" i="3"/>
  <c r="AB284" i="3" s="1"/>
  <c r="Y285" i="3"/>
  <c r="AB285" i="3" s="1"/>
  <c r="Y286" i="3"/>
  <c r="AB286" i="3" s="1"/>
  <c r="Y287" i="3"/>
  <c r="AB287" i="3" s="1"/>
  <c r="Y288" i="3"/>
  <c r="AB288" i="3" s="1"/>
  <c r="Y289" i="3"/>
  <c r="AB289" i="3" s="1"/>
  <c r="Y290" i="3"/>
  <c r="AB290" i="3" s="1"/>
  <c r="Y291" i="3"/>
  <c r="AB291" i="3" s="1"/>
  <c r="Y292" i="3"/>
  <c r="AB292" i="3" s="1"/>
  <c r="Y293" i="3"/>
  <c r="AB293" i="3" s="1"/>
  <c r="Y294" i="3"/>
  <c r="AB294" i="3" s="1"/>
  <c r="Y295" i="3"/>
  <c r="AB295" i="3" s="1"/>
  <c r="Y296" i="3"/>
  <c r="AB296" i="3" s="1"/>
  <c r="Y297" i="3"/>
  <c r="AB297" i="3" s="1"/>
  <c r="Y298" i="3"/>
  <c r="AB298" i="3" s="1"/>
  <c r="Y299" i="3"/>
  <c r="AB299" i="3" s="1"/>
  <c r="Y300" i="3"/>
  <c r="AB300" i="3" s="1"/>
  <c r="Y301" i="3"/>
  <c r="AB301" i="3" s="1"/>
  <c r="Y302" i="3"/>
  <c r="AB302" i="3" s="1"/>
  <c r="Y303" i="3"/>
  <c r="AB303" i="3" s="1"/>
  <c r="Y304" i="3"/>
  <c r="AB304" i="3" s="1"/>
  <c r="Y305" i="3"/>
  <c r="AB305" i="3" s="1"/>
  <c r="Y306" i="3"/>
  <c r="AB306" i="3" s="1"/>
  <c r="Y307" i="3"/>
  <c r="AB307" i="3" s="1"/>
  <c r="Y308" i="3"/>
  <c r="AB308" i="3" s="1"/>
  <c r="Y309" i="3"/>
  <c r="AB309" i="3" s="1"/>
  <c r="Y310" i="3"/>
  <c r="AB310" i="3" s="1"/>
  <c r="Y311" i="3"/>
  <c r="AB311" i="3" s="1"/>
  <c r="Y312" i="3"/>
  <c r="AB312" i="3" s="1"/>
  <c r="Y313" i="3"/>
  <c r="AB313" i="3" s="1"/>
  <c r="Y314" i="3"/>
  <c r="AB314" i="3" s="1"/>
  <c r="Y315" i="3"/>
  <c r="AB315" i="3" s="1"/>
  <c r="Y316" i="3"/>
  <c r="AB316" i="3" s="1"/>
  <c r="Y317" i="3"/>
  <c r="AB317" i="3" s="1"/>
  <c r="Y318" i="3"/>
  <c r="AB318" i="3" s="1"/>
  <c r="Y319" i="3"/>
  <c r="AB319" i="3" s="1"/>
  <c r="Y320" i="3"/>
  <c r="AB320" i="3" s="1"/>
  <c r="Y321" i="3"/>
  <c r="AB321" i="3" s="1"/>
  <c r="Y322" i="3"/>
  <c r="AB322" i="3" s="1"/>
  <c r="Y323" i="3"/>
  <c r="AB323" i="3" s="1"/>
  <c r="Y324" i="3"/>
  <c r="AB324" i="3" s="1"/>
  <c r="Y325" i="3"/>
  <c r="AB325" i="3" s="1"/>
  <c r="Y326" i="3"/>
  <c r="AB326" i="3" s="1"/>
  <c r="Y327" i="3"/>
  <c r="AB327" i="3" s="1"/>
  <c r="Y328" i="3"/>
  <c r="AB328" i="3" s="1"/>
  <c r="Y329" i="3"/>
  <c r="AB329" i="3" s="1"/>
  <c r="Y330" i="3"/>
  <c r="AB330" i="3" s="1"/>
  <c r="Y331" i="3"/>
  <c r="AB331" i="3" s="1"/>
  <c r="Y332" i="3"/>
  <c r="AB332" i="3" s="1"/>
  <c r="Y333" i="3"/>
  <c r="AB333" i="3" s="1"/>
  <c r="Y334" i="3"/>
  <c r="AB334" i="3" s="1"/>
  <c r="Y335" i="3"/>
  <c r="AB335" i="3" s="1"/>
  <c r="Y336" i="3"/>
  <c r="AB336" i="3" s="1"/>
  <c r="Y337" i="3"/>
  <c r="AB337" i="3" s="1"/>
  <c r="Y338" i="3"/>
  <c r="AB338" i="3" s="1"/>
  <c r="Y339" i="3"/>
  <c r="AB339" i="3" s="1"/>
  <c r="Y340" i="3"/>
  <c r="AB340" i="3" s="1"/>
  <c r="Y341" i="3"/>
  <c r="AB341" i="3" s="1"/>
  <c r="Y342" i="3"/>
  <c r="AB342" i="3" s="1"/>
  <c r="Y343" i="3"/>
  <c r="AB343" i="3" s="1"/>
  <c r="Y344" i="3"/>
  <c r="AB344" i="3" s="1"/>
  <c r="Y345" i="3"/>
  <c r="AB345" i="3" s="1"/>
  <c r="Y346" i="3"/>
  <c r="AB346" i="3" s="1"/>
  <c r="Y347" i="3"/>
  <c r="AB347" i="3" s="1"/>
  <c r="Y348" i="3"/>
  <c r="AB348" i="3" s="1"/>
  <c r="Y349" i="3"/>
  <c r="AB349" i="3" s="1"/>
  <c r="Y350" i="3"/>
  <c r="AB350" i="3" s="1"/>
  <c r="Y351" i="3"/>
  <c r="AB351" i="3" s="1"/>
  <c r="Y352" i="3"/>
  <c r="AB352" i="3" s="1"/>
  <c r="Y353" i="3"/>
  <c r="AB353" i="3" s="1"/>
  <c r="Y354" i="3"/>
  <c r="AB354" i="3" s="1"/>
  <c r="Y355" i="3"/>
  <c r="AB355" i="3" s="1"/>
  <c r="Y356" i="3"/>
  <c r="AB356" i="3" s="1"/>
  <c r="Y357" i="3"/>
  <c r="AB357" i="3" s="1"/>
  <c r="Y358" i="3"/>
  <c r="AB358" i="3" s="1"/>
  <c r="Y359" i="3"/>
  <c r="AB359" i="3" s="1"/>
  <c r="Y360" i="3"/>
  <c r="AB360" i="3" s="1"/>
  <c r="Y361" i="3"/>
  <c r="AB361" i="3" s="1"/>
  <c r="Y362" i="3"/>
  <c r="AB362" i="3" s="1"/>
  <c r="Y363" i="3"/>
  <c r="AB363" i="3" s="1"/>
  <c r="Y364" i="3"/>
  <c r="AB364" i="3" s="1"/>
  <c r="Y365" i="3"/>
  <c r="AB365" i="3" s="1"/>
  <c r="Y366" i="3"/>
  <c r="AB366" i="3" s="1"/>
  <c r="Y367" i="3"/>
  <c r="AB367" i="3" s="1"/>
  <c r="Y368" i="3"/>
  <c r="AB368" i="3" s="1"/>
  <c r="Y369" i="3"/>
  <c r="AB369" i="3" s="1"/>
  <c r="Y370" i="3"/>
  <c r="AB370" i="3" s="1"/>
  <c r="Y371" i="3"/>
  <c r="AB371" i="3" s="1"/>
  <c r="Y372" i="3"/>
  <c r="AB372" i="3" s="1"/>
  <c r="Y373" i="3"/>
  <c r="AB373" i="3" s="1"/>
  <c r="Y374" i="3"/>
  <c r="AB374" i="3" s="1"/>
  <c r="Y375" i="3"/>
  <c r="AB375" i="3" s="1"/>
  <c r="Y376" i="3"/>
  <c r="AB376" i="3" s="1"/>
  <c r="Y377" i="3"/>
  <c r="AB377" i="3" s="1"/>
  <c r="Y378" i="3"/>
  <c r="AB378" i="3" s="1"/>
  <c r="Y379" i="3"/>
  <c r="AB379" i="3" s="1"/>
  <c r="Y380" i="3"/>
  <c r="AB380" i="3" s="1"/>
  <c r="Y381" i="3"/>
  <c r="AB381" i="3" s="1"/>
  <c r="Y382" i="3"/>
  <c r="AB382" i="3" s="1"/>
  <c r="Y383" i="3"/>
  <c r="AB383" i="3" s="1"/>
  <c r="Y384" i="3"/>
  <c r="AB384" i="3" s="1"/>
  <c r="Y385" i="3"/>
  <c r="AB385" i="3" s="1"/>
  <c r="Y386" i="3"/>
  <c r="AB386" i="3" s="1"/>
  <c r="Y387" i="3"/>
  <c r="AB387" i="3" s="1"/>
  <c r="Y388" i="3"/>
  <c r="AB388" i="3" s="1"/>
  <c r="Y389" i="3"/>
  <c r="AB389" i="3" s="1"/>
  <c r="Y390" i="3"/>
  <c r="AB390" i="3" s="1"/>
  <c r="Y391" i="3"/>
  <c r="AB391" i="3" s="1"/>
  <c r="Y392" i="3"/>
  <c r="AB392" i="3" s="1"/>
  <c r="Y393" i="3"/>
  <c r="AB393" i="3" s="1"/>
  <c r="Y394" i="3"/>
  <c r="AB394" i="3" s="1"/>
  <c r="Y395" i="3"/>
  <c r="AB395" i="3" s="1"/>
  <c r="Y396" i="3"/>
  <c r="AB396" i="3" s="1"/>
  <c r="Y397" i="3"/>
  <c r="AB397" i="3" s="1"/>
  <c r="Y398" i="3"/>
  <c r="AB398" i="3" s="1"/>
  <c r="Y399" i="3"/>
  <c r="AB399" i="3" s="1"/>
  <c r="Y400" i="3"/>
  <c r="AB400" i="3" s="1"/>
  <c r="Y401" i="3"/>
  <c r="AB401" i="3" s="1"/>
  <c r="Y402" i="3"/>
  <c r="AB402" i="3" s="1"/>
  <c r="Y403" i="3"/>
  <c r="AB403" i="3" s="1"/>
  <c r="Y404" i="3"/>
  <c r="AB404" i="3" s="1"/>
  <c r="Y405" i="3"/>
  <c r="AB405" i="3" s="1"/>
  <c r="Y406" i="3"/>
  <c r="AB406" i="3" s="1"/>
  <c r="Y407" i="3"/>
  <c r="AB407" i="3" s="1"/>
  <c r="Y408" i="3"/>
  <c r="AB408" i="3" s="1"/>
  <c r="Y409" i="3"/>
  <c r="AB409" i="3" s="1"/>
  <c r="Y410" i="3"/>
  <c r="AB410" i="3" s="1"/>
  <c r="Y411" i="3"/>
  <c r="AB411" i="3" s="1"/>
  <c r="Y412" i="3"/>
  <c r="AB412" i="3" s="1"/>
  <c r="Y413" i="3"/>
  <c r="AB413" i="3" s="1"/>
  <c r="Y414" i="3"/>
  <c r="AB414" i="3" s="1"/>
  <c r="Y415" i="3"/>
  <c r="AB415" i="3" s="1"/>
  <c r="Y416" i="3"/>
  <c r="AB416" i="3" s="1"/>
  <c r="Y417" i="3"/>
  <c r="AB417" i="3" s="1"/>
  <c r="Y418" i="3"/>
  <c r="AB418" i="3" s="1"/>
  <c r="Y419" i="3"/>
  <c r="AB419" i="3" s="1"/>
  <c r="Y420" i="3"/>
  <c r="AB420" i="3" s="1"/>
  <c r="Y421" i="3"/>
  <c r="AB421" i="3" s="1"/>
  <c r="Y206" i="3"/>
  <c r="AB206" i="3" s="1"/>
  <c r="AB207" i="3"/>
  <c r="Y208" i="3"/>
  <c r="AB208" i="3" s="1"/>
  <c r="Y209" i="3"/>
  <c r="AB209" i="3" s="1"/>
  <c r="Y210" i="3"/>
  <c r="AB210" i="3" s="1"/>
  <c r="Y211" i="3"/>
  <c r="AB211" i="3" s="1"/>
  <c r="Y212" i="3"/>
  <c r="AB212" i="3" s="1"/>
  <c r="Y213" i="3"/>
  <c r="AB213" i="3" s="1"/>
  <c r="Y214" i="3"/>
  <c r="AB214" i="3" s="1"/>
  <c r="Y215" i="3"/>
  <c r="AB215" i="3" s="1"/>
  <c r="AB216" i="3"/>
  <c r="Y217" i="3"/>
  <c r="AB217" i="3" s="1"/>
  <c r="Y218" i="3"/>
  <c r="AB218" i="3" s="1"/>
  <c r="Y219" i="3"/>
  <c r="AB219" i="3" s="1"/>
  <c r="Y220" i="3"/>
  <c r="AB220" i="3" s="1"/>
  <c r="Y221" i="3"/>
  <c r="AB221" i="3" s="1"/>
  <c r="Y222" i="3"/>
  <c r="AB222" i="3" s="1"/>
  <c r="Y223" i="3"/>
  <c r="AB223" i="3" s="1"/>
  <c r="AB224" i="3"/>
  <c r="Y225" i="3"/>
  <c r="AB225" i="3" s="1"/>
  <c r="Y226" i="3"/>
  <c r="AB226" i="3" s="1"/>
  <c r="Y227" i="3"/>
  <c r="AB227" i="3" s="1"/>
  <c r="AB228" i="3"/>
  <c r="Y229" i="3"/>
  <c r="AB229" i="3" s="1"/>
  <c r="Y230" i="3"/>
  <c r="AB230" i="3" s="1"/>
  <c r="Y231" i="3"/>
  <c r="AB231" i="3" s="1"/>
  <c r="Y232" i="3"/>
  <c r="AB232" i="3" s="1"/>
  <c r="Y233" i="3"/>
  <c r="AB233" i="3" s="1"/>
  <c r="Y234" i="3"/>
  <c r="AB234" i="3" s="1"/>
  <c r="AB235" i="3"/>
  <c r="Y236" i="3"/>
  <c r="AB236" i="3" s="1"/>
  <c r="Y237" i="3"/>
  <c r="AB237" i="3" s="1"/>
  <c r="Y238" i="3"/>
  <c r="AB238" i="3" s="1"/>
  <c r="Y239" i="3"/>
  <c r="AB239" i="3" s="1"/>
  <c r="Y240" i="3"/>
  <c r="AB240" i="3" s="1"/>
  <c r="AB241" i="3"/>
  <c r="Y242" i="3"/>
  <c r="AB242" i="3" s="1"/>
  <c r="Y243" i="3"/>
  <c r="AB243" i="3" s="1"/>
  <c r="Y244" i="3"/>
  <c r="AB244" i="3" s="1"/>
  <c r="Y245" i="3"/>
  <c r="AB245" i="3" s="1"/>
  <c r="Y246" i="3"/>
  <c r="AB246" i="3" s="1"/>
  <c r="AB247" i="3"/>
  <c r="Y248" i="3"/>
  <c r="AB248" i="3" s="1"/>
  <c r="Y249" i="3"/>
  <c r="AB249" i="3" s="1"/>
  <c r="Y195" i="3"/>
  <c r="AB195" i="3" s="1"/>
  <c r="Y196" i="3"/>
  <c r="AB196" i="3" s="1"/>
  <c r="Y197" i="3"/>
  <c r="AB197" i="3" s="1"/>
  <c r="Y198" i="3"/>
  <c r="AB198" i="3" s="1"/>
  <c r="Y199" i="3"/>
  <c r="AB199" i="3" s="1"/>
  <c r="AB200" i="3"/>
  <c r="Y128" i="3"/>
  <c r="AB128" i="3" s="1"/>
  <c r="Y129" i="3"/>
  <c r="AB129" i="3" s="1"/>
  <c r="Y130" i="3"/>
  <c r="AB130" i="3" s="1"/>
  <c r="Y131" i="3"/>
  <c r="AB131" i="3" s="1"/>
  <c r="Y132" i="3"/>
  <c r="AB132" i="3" s="1"/>
  <c r="Y133" i="3"/>
  <c r="AB133" i="3" s="1"/>
  <c r="Y134" i="3"/>
  <c r="AB134" i="3" s="1"/>
  <c r="Y135" i="3"/>
  <c r="AB135" i="3" s="1"/>
  <c r="Y136" i="3"/>
  <c r="AB136" i="3" s="1"/>
  <c r="Y137" i="3"/>
  <c r="AB137" i="3" s="1"/>
  <c r="Y138" i="3"/>
  <c r="AB138" i="3" s="1"/>
  <c r="AB139" i="3"/>
  <c r="Y140" i="3"/>
  <c r="AB140" i="3" s="1"/>
  <c r="Y141" i="3"/>
  <c r="AB141" i="3" s="1"/>
  <c r="Y142" i="3"/>
  <c r="AB142" i="3" s="1"/>
  <c r="Y143" i="3"/>
  <c r="AB143" i="3" s="1"/>
  <c r="Y144" i="3"/>
  <c r="AB144" i="3" s="1"/>
  <c r="Y145" i="3"/>
  <c r="AB145" i="3" s="1"/>
  <c r="Y146" i="3"/>
  <c r="AB146" i="3" s="1"/>
  <c r="AB147" i="3"/>
  <c r="Y148" i="3"/>
  <c r="AB148" i="3" s="1"/>
  <c r="Y149" i="3"/>
  <c r="AB149" i="3" s="1"/>
  <c r="AB150" i="3"/>
  <c r="Y151" i="3"/>
  <c r="AB151" i="3" s="1"/>
  <c r="Y152" i="3"/>
  <c r="AB152" i="3" s="1"/>
  <c r="Y153" i="3"/>
  <c r="AB153" i="3" s="1"/>
  <c r="Y154" i="3"/>
  <c r="AB154" i="3" s="1"/>
  <c r="Y155" i="3"/>
  <c r="AB155" i="3" s="1"/>
  <c r="Y156" i="3"/>
  <c r="AB156" i="3" s="1"/>
  <c r="Y157" i="3"/>
  <c r="AB157" i="3" s="1"/>
  <c r="Y158" i="3"/>
  <c r="AB158" i="3" s="1"/>
  <c r="Y159" i="3"/>
  <c r="AB159" i="3" s="1"/>
  <c r="Y160" i="3"/>
  <c r="AB160" i="3" s="1"/>
  <c r="Y161" i="3"/>
  <c r="AB161" i="3" s="1"/>
  <c r="AB162" i="3"/>
  <c r="Y163" i="3"/>
  <c r="AB163" i="3" s="1"/>
  <c r="Y164" i="3"/>
  <c r="AB164" i="3" s="1"/>
  <c r="Y165" i="3"/>
  <c r="AB165" i="3" s="1"/>
  <c r="Y166" i="3"/>
  <c r="AB166" i="3" s="1"/>
  <c r="Y167" i="3"/>
  <c r="AB167" i="3" s="1"/>
  <c r="Y168" i="3"/>
  <c r="AB168" i="3" s="1"/>
  <c r="AB169" i="3"/>
  <c r="Y170" i="3"/>
  <c r="AB170" i="3" s="1"/>
  <c r="Y171" i="3"/>
  <c r="AB171" i="3" s="1"/>
  <c r="Y172" i="3"/>
  <c r="AB172" i="3" s="1"/>
  <c r="Y173" i="3"/>
  <c r="AB173" i="3" s="1"/>
  <c r="Y174" i="3"/>
  <c r="AB174" i="3" s="1"/>
  <c r="Y175" i="3"/>
  <c r="AB175" i="3" s="1"/>
  <c r="Y176" i="3"/>
  <c r="AB176" i="3" s="1"/>
  <c r="Y177" i="3"/>
  <c r="AB177" i="3" s="1"/>
  <c r="Y178" i="3"/>
  <c r="AB178" i="3" s="1"/>
  <c r="Y179" i="3"/>
  <c r="AB179" i="3" s="1"/>
  <c r="Y180" i="3"/>
  <c r="AB180" i="3" s="1"/>
  <c r="Y181" i="3"/>
  <c r="AB181" i="3" s="1"/>
  <c r="Y182" i="3"/>
  <c r="AB182" i="3" s="1"/>
  <c r="Y183" i="3"/>
  <c r="AB183" i="3" s="1"/>
  <c r="Y184" i="3"/>
  <c r="AB184" i="3" s="1"/>
  <c r="AB185" i="3"/>
  <c r="Y186" i="3"/>
  <c r="AB186" i="3" s="1"/>
  <c r="Y187" i="3"/>
  <c r="AB187" i="3" s="1"/>
  <c r="Y188" i="3"/>
  <c r="AB188" i="3" s="1"/>
  <c r="Y189" i="3"/>
  <c r="AB189" i="3" s="1"/>
  <c r="Y190" i="3"/>
  <c r="AB190" i="3" s="1"/>
  <c r="Y191" i="3"/>
  <c r="AB191" i="3" s="1"/>
  <c r="Y192" i="3"/>
  <c r="AB192" i="3" s="1"/>
  <c r="Y193" i="3"/>
  <c r="AB193" i="3" s="1"/>
  <c r="Y64" i="3"/>
  <c r="AB64" i="3" s="1"/>
  <c r="Y65" i="3"/>
  <c r="AB65" i="3" s="1"/>
  <c r="Y66" i="3"/>
  <c r="AB66" i="3" s="1"/>
  <c r="AB67" i="3"/>
  <c r="Y68" i="3"/>
  <c r="AB68" i="3" s="1"/>
  <c r="Y69" i="3"/>
  <c r="AB69" i="3" s="1"/>
  <c r="Y70" i="3"/>
  <c r="AB70" i="3" s="1"/>
  <c r="Y71" i="3"/>
  <c r="AB71" i="3" s="1"/>
  <c r="Y72" i="3"/>
  <c r="AB72" i="3" s="1"/>
  <c r="Y73" i="3"/>
  <c r="AB73" i="3" s="1"/>
  <c r="AB74" i="3"/>
  <c r="Y75" i="3"/>
  <c r="AB75" i="3" s="1"/>
  <c r="Y76" i="3"/>
  <c r="AB76" i="3" s="1"/>
  <c r="Y77" i="3"/>
  <c r="AB77" i="3" s="1"/>
  <c r="Y78" i="3"/>
  <c r="AB78" i="3" s="1"/>
  <c r="AB79" i="3"/>
  <c r="Y80" i="3"/>
  <c r="AB80" i="3" s="1"/>
  <c r="Y81" i="3"/>
  <c r="AB81" i="3" s="1"/>
  <c r="AB82" i="3"/>
  <c r="Y83" i="3"/>
  <c r="AB83" i="3" s="1"/>
  <c r="Y84" i="3"/>
  <c r="AB84" i="3" s="1"/>
  <c r="Y85" i="3"/>
  <c r="AB85" i="3" s="1"/>
  <c r="Y86" i="3"/>
  <c r="AB86" i="3" s="1"/>
  <c r="Y87" i="3"/>
  <c r="AB87" i="3" s="1"/>
  <c r="Y88" i="3"/>
  <c r="AB88" i="3" s="1"/>
  <c r="Y89" i="3"/>
  <c r="AB89" i="3" s="1"/>
  <c r="Y90" i="3"/>
  <c r="AB90" i="3" s="1"/>
  <c r="Y91" i="3"/>
  <c r="AB91" i="3" s="1"/>
  <c r="Y92" i="3"/>
  <c r="AB92" i="3" s="1"/>
  <c r="Y93" i="3"/>
  <c r="AB93" i="3" s="1"/>
  <c r="Y94" i="3"/>
  <c r="AB94" i="3" s="1"/>
  <c r="Y95" i="3"/>
  <c r="AB95" i="3" s="1"/>
  <c r="AB96" i="3"/>
  <c r="Y97" i="3"/>
  <c r="AB97" i="3" s="1"/>
  <c r="Y98" i="3"/>
  <c r="AB98" i="3" s="1"/>
  <c r="Y99" i="3"/>
  <c r="AB99" i="3" s="1"/>
  <c r="Y100" i="3"/>
  <c r="AB100" i="3" s="1"/>
  <c r="Y101" i="3"/>
  <c r="AB101" i="3" s="1"/>
  <c r="Y102" i="3"/>
  <c r="AB102" i="3" s="1"/>
  <c r="Y103" i="3"/>
  <c r="AB103" i="3" s="1"/>
  <c r="Y104" i="3"/>
  <c r="AB104" i="3" s="1"/>
  <c r="Y105" i="3"/>
  <c r="AB105" i="3" s="1"/>
  <c r="Y106" i="3"/>
  <c r="AB106" i="3" s="1"/>
  <c r="Y107" i="3"/>
  <c r="AB107" i="3" s="1"/>
  <c r="Y108" i="3"/>
  <c r="AB108" i="3" s="1"/>
  <c r="Y109" i="3"/>
  <c r="AB109" i="3" s="1"/>
  <c r="Y110" i="3"/>
  <c r="AB110" i="3" s="1"/>
  <c r="Y111" i="3"/>
  <c r="AB111" i="3" s="1"/>
  <c r="Y112" i="3"/>
  <c r="AB112" i="3" s="1"/>
  <c r="AB113" i="3"/>
  <c r="Y114" i="3"/>
  <c r="AB114" i="3" s="1"/>
  <c r="Y115" i="3"/>
  <c r="AB115" i="3" s="1"/>
  <c r="Y116" i="3"/>
  <c r="AB116" i="3" s="1"/>
  <c r="Y117" i="3"/>
  <c r="AB117" i="3" s="1"/>
  <c r="Y118" i="3"/>
  <c r="AB118" i="3" s="1"/>
  <c r="AB119" i="3"/>
  <c r="Y120" i="3"/>
  <c r="AB120" i="3" s="1"/>
  <c r="Y121" i="3"/>
  <c r="AB121" i="3" s="1"/>
  <c r="Y122" i="3"/>
  <c r="AB122" i="3" s="1"/>
  <c r="Y123" i="3"/>
  <c r="AB123" i="3" s="1"/>
  <c r="Y124" i="3"/>
  <c r="AB124" i="3" s="1"/>
  <c r="Y125" i="3"/>
  <c r="AB125" i="3" s="1"/>
  <c r="Y62" i="3"/>
  <c r="AB62" i="3" s="1"/>
  <c r="Y3" i="3"/>
  <c r="AB3" i="3" s="1"/>
  <c r="Y4" i="3"/>
  <c r="AB4" i="3" s="1"/>
  <c r="Y5" i="3"/>
  <c r="AB5" i="3" s="1"/>
  <c r="Y6" i="3"/>
  <c r="AB6" i="3" s="1"/>
  <c r="Y7" i="3"/>
  <c r="AB7" i="3" s="1"/>
  <c r="Y8" i="3"/>
  <c r="AB8" i="3" s="1"/>
  <c r="Y9" i="3"/>
  <c r="AB9" i="3" s="1"/>
  <c r="Y10" i="3"/>
  <c r="AB10" i="3" s="1"/>
  <c r="AB11" i="3"/>
  <c r="Y12" i="3"/>
  <c r="AB12" i="3" s="1"/>
  <c r="Y13" i="3"/>
  <c r="AB13" i="3" s="1"/>
  <c r="Y14" i="3"/>
  <c r="AB14" i="3" s="1"/>
  <c r="Y15" i="3"/>
  <c r="AB15" i="3" s="1"/>
  <c r="Y16" i="3"/>
  <c r="AB16" i="3" s="1"/>
  <c r="Y17" i="3"/>
  <c r="AB17" i="3" s="1"/>
  <c r="Y18" i="3"/>
  <c r="AB18" i="3" s="1"/>
  <c r="Y19" i="3"/>
  <c r="AB19" i="3" s="1"/>
  <c r="Y20" i="3"/>
  <c r="AB20" i="3" s="1"/>
  <c r="Y21" i="3"/>
  <c r="AB21" i="3" s="1"/>
  <c r="Y22" i="3"/>
  <c r="AB22" i="3" s="1"/>
  <c r="Y23" i="3"/>
  <c r="AB23" i="3" s="1"/>
  <c r="Y24" i="3"/>
  <c r="AB24" i="3" s="1"/>
  <c r="Y25" i="3"/>
  <c r="AB25" i="3" s="1"/>
  <c r="AB26" i="3"/>
  <c r="Y27" i="3"/>
  <c r="AB27" i="3" s="1"/>
  <c r="Y28" i="3"/>
  <c r="AB28" i="3" s="1"/>
  <c r="Y29" i="3"/>
  <c r="AB29" i="3" s="1"/>
  <c r="Y30" i="3"/>
  <c r="AB30" i="3" s="1"/>
  <c r="Y31" i="3"/>
  <c r="AB31" i="3" s="1"/>
  <c r="Y32" i="3"/>
  <c r="AB32" i="3" s="1"/>
  <c r="Y33" i="3"/>
  <c r="AB33" i="3" s="1"/>
  <c r="Y34" i="3"/>
  <c r="AB34" i="3" s="1"/>
  <c r="Y35" i="3"/>
  <c r="AB35" i="3" s="1"/>
  <c r="Y36" i="3"/>
  <c r="AB36" i="3" s="1"/>
  <c r="AB37" i="3"/>
  <c r="Y38" i="3"/>
  <c r="AB38" i="3" s="1"/>
  <c r="Y39" i="3"/>
  <c r="AB39" i="3" s="1"/>
  <c r="Y40" i="3"/>
  <c r="AB40" i="3" s="1"/>
  <c r="Y41" i="3"/>
  <c r="AB41" i="3" s="1"/>
  <c r="Y42" i="3"/>
  <c r="AB42" i="3" s="1"/>
  <c r="Y43" i="3"/>
  <c r="AB43" i="3" s="1"/>
  <c r="Y44" i="3"/>
  <c r="AB44" i="3" s="1"/>
  <c r="Y45" i="3"/>
  <c r="AB45" i="3" s="1"/>
  <c r="Y46" i="3"/>
  <c r="AB46" i="3" s="1"/>
  <c r="Y47" i="3"/>
  <c r="AB47" i="3" s="1"/>
  <c r="Y48" i="3"/>
  <c r="AB48" i="3" s="1"/>
  <c r="Y49" i="3"/>
  <c r="AB49" i="3" s="1"/>
  <c r="Y50" i="3"/>
  <c r="AB50" i="3" s="1"/>
  <c r="Y51" i="3"/>
  <c r="AB51" i="3" s="1"/>
  <c r="AB52" i="3"/>
  <c r="Y53" i="3"/>
  <c r="AB53" i="3" s="1"/>
  <c r="Y54" i="3"/>
  <c r="AB54" i="3" s="1"/>
  <c r="Y55" i="3"/>
  <c r="AB55" i="3" s="1"/>
  <c r="AB56" i="3"/>
  <c r="Y57" i="3"/>
  <c r="AB57" i="3" s="1"/>
  <c r="Y58" i="3"/>
  <c r="AB58" i="3" s="1"/>
  <c r="Y59" i="3"/>
  <c r="AB59" i="3" s="1"/>
  <c r="Y60" i="3"/>
  <c r="AB60" i="3" s="1"/>
  <c r="X421" i="3"/>
  <c r="X249" i="3"/>
  <c r="X193" i="3"/>
  <c r="X60" i="3"/>
  <c r="Y423" i="3"/>
  <c r="AB423" i="3" s="1"/>
  <c r="Y251" i="3"/>
  <c r="AB251" i="3" s="1"/>
  <c r="Y205" i="3"/>
  <c r="AB205" i="3" s="1"/>
  <c r="Y204" i="3"/>
  <c r="AB204" i="3" s="1"/>
  <c r="Y203" i="3"/>
  <c r="AB203" i="3" s="1"/>
  <c r="Y202" i="3"/>
  <c r="AB202" i="3" s="1"/>
  <c r="Y201" i="3"/>
  <c r="AB201" i="3" s="1"/>
  <c r="Y127" i="3"/>
  <c r="AB127" i="3" s="1"/>
  <c r="Y63" i="3"/>
  <c r="AB63" i="3" s="1"/>
  <c r="Y2" i="3"/>
  <c r="AB2" i="3" s="1"/>
  <c r="C7" i="4"/>
  <c r="C8" i="4"/>
  <c r="C9" i="4"/>
  <c r="C10" i="4"/>
  <c r="C11" i="4"/>
  <c r="C12" i="4"/>
  <c r="C13" i="4"/>
  <c r="C14" i="4"/>
  <c r="A15" i="4"/>
  <c r="B47" i="5" s="1"/>
  <c r="B15" i="4"/>
  <c r="C15" i="4"/>
  <c r="D15" i="4"/>
  <c r="F15" i="4" s="1"/>
  <c r="G15" i="4" s="1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A30" i="4"/>
  <c r="B62" i="5" s="1"/>
  <c r="B30" i="4"/>
  <c r="C30" i="4"/>
  <c r="C31" i="4"/>
  <c r="C32" i="4"/>
  <c r="C33" i="4"/>
  <c r="C34" i="4"/>
  <c r="C35" i="4"/>
  <c r="C36" i="4"/>
  <c r="C37" i="4"/>
  <c r="C38" i="4"/>
  <c r="C39" i="4"/>
  <c r="C40" i="4"/>
  <c r="A41" i="4"/>
  <c r="B73" i="5" s="1"/>
  <c r="B41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A56" i="4"/>
  <c r="B88" i="5" s="1"/>
  <c r="B56" i="4"/>
  <c r="C56" i="4"/>
  <c r="D56" i="4"/>
  <c r="F56" i="4" s="1"/>
  <c r="C57" i="4"/>
  <c r="C58" i="4"/>
  <c r="C59" i="4"/>
  <c r="A60" i="4"/>
  <c r="B92" i="5" s="1"/>
  <c r="B60" i="4"/>
  <c r="C60" i="4"/>
  <c r="C61" i="4"/>
  <c r="C62" i="4"/>
  <c r="C63" i="4"/>
  <c r="C64" i="4"/>
  <c r="A65" i="4"/>
  <c r="B97" i="5" s="1"/>
  <c r="B65" i="4"/>
  <c r="C65" i="4"/>
  <c r="D65" i="4"/>
  <c r="F65" i="4" s="1"/>
  <c r="C66" i="4"/>
  <c r="C67" i="4"/>
  <c r="C68" i="4"/>
  <c r="C69" i="4"/>
  <c r="C70" i="4"/>
  <c r="A71" i="4"/>
  <c r="B103" i="5" s="1"/>
  <c r="B71" i="4"/>
  <c r="C71" i="4"/>
  <c r="D71" i="4"/>
  <c r="C72" i="4"/>
  <c r="C73" i="4"/>
  <c r="C74" i="4"/>
  <c r="C75" i="4"/>
  <c r="C76" i="4"/>
  <c r="C77" i="4"/>
  <c r="A78" i="4"/>
  <c r="B110" i="5" s="1"/>
  <c r="B78" i="4"/>
  <c r="C78" i="4"/>
  <c r="C79" i="4"/>
  <c r="C80" i="4"/>
  <c r="C81" i="4"/>
  <c r="C82" i="4"/>
  <c r="A83" i="4"/>
  <c r="B115" i="5" s="1"/>
  <c r="B83" i="4"/>
  <c r="C83" i="4"/>
  <c r="D83" i="4"/>
  <c r="C84" i="4"/>
  <c r="C85" i="4"/>
  <c r="A86" i="4"/>
  <c r="B118" i="5" s="1"/>
  <c r="B86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A100" i="4"/>
  <c r="B132" i="5" s="1"/>
  <c r="B100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A117" i="4"/>
  <c r="B149" i="5" s="1"/>
  <c r="B117" i="4"/>
  <c r="C117" i="4"/>
  <c r="C118" i="4"/>
  <c r="C119" i="4"/>
  <c r="C120" i="4"/>
  <c r="C121" i="4"/>
  <c r="C122" i="4"/>
  <c r="A123" i="4"/>
  <c r="B155" i="5" s="1"/>
  <c r="B123" i="4"/>
  <c r="C123" i="4"/>
  <c r="D123" i="4"/>
  <c r="F123" i="4" s="1"/>
  <c r="G123" i="4" s="1"/>
  <c r="C124" i="4"/>
  <c r="C125" i="4"/>
  <c r="C126" i="4"/>
  <c r="C127" i="4"/>
  <c r="C128" i="4"/>
  <c r="C129" i="4"/>
  <c r="A130" i="4"/>
  <c r="B162" i="5" s="1"/>
  <c r="B130" i="4"/>
  <c r="C130" i="4"/>
  <c r="D130" i="4"/>
  <c r="F130" i="4" s="1"/>
  <c r="C131" i="4"/>
  <c r="C132" i="4"/>
  <c r="C133" i="4"/>
  <c r="C134" i="4"/>
  <c r="C135" i="4"/>
  <c r="C136" i="4"/>
  <c r="C137" i="4"/>
  <c r="C138" i="4"/>
  <c r="C139" i="4"/>
  <c r="C140" i="4"/>
  <c r="C141" i="4"/>
  <c r="C142" i="4"/>
  <c r="A143" i="4"/>
  <c r="B175" i="5" s="1"/>
  <c r="B143" i="4"/>
  <c r="C143" i="4"/>
  <c r="C144" i="4"/>
  <c r="C145" i="4"/>
  <c r="C146" i="4"/>
  <c r="C147" i="4"/>
  <c r="C148" i="4"/>
  <c r="C149" i="4"/>
  <c r="C150" i="4"/>
  <c r="A151" i="4"/>
  <c r="B183" i="5" s="1"/>
  <c r="B151" i="4"/>
  <c r="C151" i="4"/>
  <c r="C152" i="4"/>
  <c r="C153" i="4"/>
  <c r="A154" i="4"/>
  <c r="B186" i="5" s="1"/>
  <c r="B154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A166" i="4"/>
  <c r="B198" i="5" s="1"/>
  <c r="B166" i="4"/>
  <c r="C166" i="4"/>
  <c r="C167" i="4"/>
  <c r="C168" i="4"/>
  <c r="C169" i="4"/>
  <c r="C170" i="4"/>
  <c r="C171" i="4"/>
  <c r="C172" i="4"/>
  <c r="A173" i="4"/>
  <c r="B205" i="5" s="1"/>
  <c r="B173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A189" i="4"/>
  <c r="B221" i="5" s="1"/>
  <c r="B189" i="4"/>
  <c r="C189" i="4"/>
  <c r="C190" i="4"/>
  <c r="C191" i="4"/>
  <c r="C192" i="4"/>
  <c r="C193" i="4"/>
  <c r="C194" i="4"/>
  <c r="C195" i="4"/>
  <c r="C196" i="4"/>
  <c r="C197" i="4"/>
  <c r="A198" i="4"/>
  <c r="B230" i="5" s="1"/>
  <c r="B198" i="4"/>
  <c r="C198" i="4"/>
  <c r="D198" i="4"/>
  <c r="C199" i="4"/>
  <c r="C200" i="4"/>
  <c r="C201" i="4"/>
  <c r="C202" i="4"/>
  <c r="C203" i="4"/>
  <c r="A204" i="4"/>
  <c r="B236" i="5" s="1"/>
  <c r="B204" i="4"/>
  <c r="C204" i="4"/>
  <c r="D204" i="4"/>
  <c r="C205" i="4"/>
  <c r="C206" i="4"/>
  <c r="C207" i="4"/>
  <c r="C208" i="4"/>
  <c r="C209" i="4"/>
  <c r="C210" i="4"/>
  <c r="A211" i="4"/>
  <c r="B243" i="5" s="1"/>
  <c r="B211" i="4"/>
  <c r="C211" i="4"/>
  <c r="C212" i="4"/>
  <c r="C213" i="4"/>
  <c r="C214" i="4"/>
  <c r="C215" i="4"/>
  <c r="C216" i="4"/>
  <c r="C217" i="4"/>
  <c r="C218" i="4"/>
  <c r="C219" i="4"/>
  <c r="A220" i="4"/>
  <c r="B252" i="5" s="1"/>
  <c r="B220" i="4"/>
  <c r="C220" i="4"/>
  <c r="D220" i="4"/>
  <c r="C221" i="4"/>
  <c r="C222" i="4"/>
  <c r="C223" i="4"/>
  <c r="C224" i="4"/>
  <c r="C225" i="4"/>
  <c r="C226" i="4"/>
  <c r="C227" i="4"/>
  <c r="A228" i="4"/>
  <c r="B260" i="5" s="1"/>
  <c r="B228" i="4"/>
  <c r="C228" i="4"/>
  <c r="D228" i="4"/>
  <c r="C229" i="4"/>
  <c r="C230" i="4"/>
  <c r="C231" i="4"/>
  <c r="A232" i="4"/>
  <c r="B264" i="5" s="1"/>
  <c r="B232" i="4"/>
  <c r="C232" i="4"/>
  <c r="D232" i="4"/>
  <c r="C233" i="4"/>
  <c r="C234" i="4"/>
  <c r="C235" i="4"/>
  <c r="C236" i="4"/>
  <c r="C237" i="4"/>
  <c r="C238" i="4"/>
  <c r="A239" i="4"/>
  <c r="B271" i="5" s="1"/>
  <c r="B239" i="4"/>
  <c r="C239" i="4"/>
  <c r="C240" i="4"/>
  <c r="C241" i="4"/>
  <c r="C242" i="4"/>
  <c r="C243" i="4"/>
  <c r="C244" i="4"/>
  <c r="A245" i="4"/>
  <c r="B277" i="5" s="1"/>
  <c r="B245" i="4"/>
  <c r="C245" i="4"/>
  <c r="D245" i="4"/>
  <c r="C246" i="4"/>
  <c r="C247" i="4"/>
  <c r="C248" i="4"/>
  <c r="C249" i="4"/>
  <c r="C250" i="4"/>
  <c r="A251" i="4"/>
  <c r="B283" i="5" s="1"/>
  <c r="B251" i="4"/>
  <c r="C251" i="4"/>
  <c r="D251" i="4"/>
  <c r="C252" i="4"/>
  <c r="C253" i="4"/>
  <c r="A254" i="4"/>
  <c r="B286" i="5" s="1"/>
  <c r="B254" i="4"/>
  <c r="C254" i="4"/>
  <c r="D254" i="4"/>
  <c r="C255" i="4"/>
  <c r="C256" i="4"/>
  <c r="C257" i="4"/>
  <c r="C258" i="4"/>
  <c r="C259" i="4"/>
  <c r="C260" i="4"/>
  <c r="C261" i="4"/>
  <c r="C262" i="4"/>
  <c r="C263" i="4"/>
  <c r="A264" i="4"/>
  <c r="B296" i="5" s="1"/>
  <c r="B264" i="4"/>
  <c r="C264" i="4"/>
  <c r="C265" i="4"/>
  <c r="C266" i="4"/>
  <c r="C267" i="4"/>
  <c r="A268" i="4"/>
  <c r="B300" i="5" s="1"/>
  <c r="B268" i="4"/>
  <c r="C268" i="4"/>
  <c r="C269" i="4"/>
  <c r="C270" i="4"/>
  <c r="C271" i="4"/>
  <c r="C272" i="4"/>
  <c r="A273" i="4"/>
  <c r="B305" i="5" s="1"/>
  <c r="B273" i="4"/>
  <c r="C273" i="4"/>
  <c r="D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A426" i="4"/>
  <c r="B458" i="5" s="1"/>
  <c r="B426" i="4"/>
  <c r="C426" i="4"/>
  <c r="D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A456" i="4"/>
  <c r="B456" i="4"/>
  <c r="C456" i="4"/>
  <c r="D456" i="4"/>
  <c r="C457" i="4"/>
  <c r="C458" i="4"/>
  <c r="C459" i="4"/>
  <c r="C460" i="4"/>
  <c r="C461" i="4"/>
  <c r="C462" i="4"/>
  <c r="C463" i="4"/>
  <c r="A464" i="4"/>
  <c r="B464" i="4"/>
  <c r="C464" i="4"/>
  <c r="D464" i="4"/>
  <c r="C465" i="4"/>
  <c r="C466" i="4"/>
  <c r="C467" i="4"/>
  <c r="C468" i="4"/>
  <c r="C469" i="4"/>
  <c r="C470" i="4"/>
  <c r="C471" i="4"/>
  <c r="C472" i="4"/>
  <c r="C473" i="4"/>
  <c r="A474" i="4"/>
  <c r="B474" i="4"/>
  <c r="C474" i="4"/>
  <c r="C475" i="4"/>
  <c r="C476" i="4"/>
  <c r="A477" i="4"/>
  <c r="B477" i="4"/>
  <c r="C477" i="4"/>
  <c r="C478" i="4"/>
  <c r="C479" i="4"/>
  <c r="A480" i="4"/>
  <c r="B480" i="4"/>
  <c r="C480" i="4"/>
  <c r="D480" i="4"/>
  <c r="C481" i="4"/>
  <c r="C482" i="4"/>
  <c r="A483" i="4"/>
  <c r="B483" i="4"/>
  <c r="C483" i="4"/>
  <c r="D483" i="4"/>
  <c r="F483" i="4" s="1"/>
  <c r="C484" i="4"/>
  <c r="C485" i="4"/>
  <c r="C486" i="4"/>
  <c r="C487" i="4"/>
  <c r="B488" i="4"/>
  <c r="C488" i="4"/>
  <c r="D488" i="4"/>
  <c r="C489" i="4"/>
  <c r="C490" i="4"/>
  <c r="C491" i="4"/>
  <c r="C492" i="4"/>
  <c r="A493" i="4"/>
  <c r="B493" i="4"/>
  <c r="C493" i="4"/>
  <c r="D493" i="4"/>
  <c r="F493" i="4" s="1"/>
  <c r="A494" i="4"/>
  <c r="B494" i="4"/>
  <c r="C494" i="4"/>
  <c r="D494" i="4"/>
  <c r="A495" i="4"/>
  <c r="B495" i="4"/>
  <c r="C495" i="4"/>
  <c r="D495" i="4"/>
  <c r="F495" i="4" s="1"/>
  <c r="A424" i="3"/>
  <c r="A428" i="4" s="1"/>
  <c r="B460" i="5" s="1"/>
  <c r="B424" i="3"/>
  <c r="B428" i="4" s="1"/>
  <c r="C424" i="3"/>
  <c r="D424" i="3"/>
  <c r="E424" i="3"/>
  <c r="A425" i="3"/>
  <c r="A429" i="4" s="1"/>
  <c r="B461" i="5" s="1"/>
  <c r="B425" i="3"/>
  <c r="B429" i="4" s="1"/>
  <c r="C425" i="3"/>
  <c r="D425" i="3"/>
  <c r="E425" i="3"/>
  <c r="A426" i="3"/>
  <c r="A430" i="4" s="1"/>
  <c r="B462" i="5" s="1"/>
  <c r="B426" i="3"/>
  <c r="B430" i="4" s="1"/>
  <c r="C426" i="3"/>
  <c r="D426" i="3"/>
  <c r="E426" i="3"/>
  <c r="A427" i="3"/>
  <c r="A431" i="4" s="1"/>
  <c r="B463" i="5" s="1"/>
  <c r="B427" i="3"/>
  <c r="B431" i="4" s="1"/>
  <c r="C427" i="3"/>
  <c r="D427" i="3"/>
  <c r="E427" i="3"/>
  <c r="A428" i="3"/>
  <c r="A432" i="4" s="1"/>
  <c r="B464" i="5" s="1"/>
  <c r="B428" i="3"/>
  <c r="B432" i="4" s="1"/>
  <c r="C428" i="3"/>
  <c r="D428" i="3"/>
  <c r="E428" i="3"/>
  <c r="A429" i="3"/>
  <c r="A433" i="4" s="1"/>
  <c r="B465" i="5" s="1"/>
  <c r="B429" i="3"/>
  <c r="B433" i="4" s="1"/>
  <c r="C429" i="3"/>
  <c r="D429" i="3"/>
  <c r="E429" i="3"/>
  <c r="A430" i="3"/>
  <c r="A434" i="4" s="1"/>
  <c r="B466" i="5" s="1"/>
  <c r="B430" i="3"/>
  <c r="B434" i="4" s="1"/>
  <c r="C430" i="3"/>
  <c r="D430" i="3"/>
  <c r="E430" i="3"/>
  <c r="A431" i="3"/>
  <c r="A435" i="4" s="1"/>
  <c r="B467" i="5" s="1"/>
  <c r="B431" i="3"/>
  <c r="B435" i="4" s="1"/>
  <c r="C431" i="3"/>
  <c r="D431" i="3"/>
  <c r="E431" i="3"/>
  <c r="A432" i="3"/>
  <c r="A436" i="4" s="1"/>
  <c r="B468" i="5" s="1"/>
  <c r="B432" i="3"/>
  <c r="B436" i="4" s="1"/>
  <c r="C432" i="3"/>
  <c r="D432" i="3"/>
  <c r="E432" i="3"/>
  <c r="A433" i="3"/>
  <c r="A437" i="4" s="1"/>
  <c r="B469" i="5" s="1"/>
  <c r="B433" i="3"/>
  <c r="B437" i="4" s="1"/>
  <c r="C433" i="3"/>
  <c r="D433" i="3"/>
  <c r="E433" i="3"/>
  <c r="A434" i="3"/>
  <c r="A438" i="4" s="1"/>
  <c r="B470" i="5" s="1"/>
  <c r="B434" i="3"/>
  <c r="B438" i="4" s="1"/>
  <c r="C434" i="3"/>
  <c r="D434" i="3"/>
  <c r="E434" i="3"/>
  <c r="A435" i="3"/>
  <c r="A439" i="4" s="1"/>
  <c r="B471" i="5" s="1"/>
  <c r="B435" i="3"/>
  <c r="B439" i="4" s="1"/>
  <c r="C435" i="3"/>
  <c r="D435" i="3"/>
  <c r="E435" i="3"/>
  <c r="A436" i="3"/>
  <c r="A440" i="4" s="1"/>
  <c r="B472" i="5" s="1"/>
  <c r="B436" i="3"/>
  <c r="B440" i="4" s="1"/>
  <c r="C436" i="3"/>
  <c r="D436" i="3"/>
  <c r="E436" i="3"/>
  <c r="A437" i="3"/>
  <c r="A441" i="4" s="1"/>
  <c r="B473" i="5" s="1"/>
  <c r="B437" i="3"/>
  <c r="B441" i="4" s="1"/>
  <c r="C437" i="3"/>
  <c r="D437" i="3"/>
  <c r="E437" i="3"/>
  <c r="A438" i="3"/>
  <c r="A442" i="4" s="1"/>
  <c r="B474" i="5" s="1"/>
  <c r="B438" i="3"/>
  <c r="B442" i="4" s="1"/>
  <c r="C438" i="3"/>
  <c r="D438" i="3"/>
  <c r="E438" i="3"/>
  <c r="A439" i="3"/>
  <c r="A443" i="4" s="1"/>
  <c r="B475" i="5" s="1"/>
  <c r="B439" i="3"/>
  <c r="B443" i="4" s="1"/>
  <c r="C439" i="3"/>
  <c r="D439" i="3"/>
  <c r="E439" i="3"/>
  <c r="A440" i="3"/>
  <c r="A444" i="4" s="1"/>
  <c r="B476" i="5" s="1"/>
  <c r="B440" i="3"/>
  <c r="B444" i="4" s="1"/>
  <c r="C440" i="3"/>
  <c r="D440" i="3"/>
  <c r="E440" i="3"/>
  <c r="A441" i="3"/>
  <c r="A445" i="4" s="1"/>
  <c r="B477" i="5" s="1"/>
  <c r="B441" i="3"/>
  <c r="B445" i="4" s="1"/>
  <c r="C441" i="3"/>
  <c r="D441" i="3"/>
  <c r="E441" i="3"/>
  <c r="A442" i="3"/>
  <c r="A446" i="4" s="1"/>
  <c r="B478" i="5" s="1"/>
  <c r="B442" i="3"/>
  <c r="B446" i="4" s="1"/>
  <c r="C442" i="3"/>
  <c r="D442" i="3"/>
  <c r="E442" i="3"/>
  <c r="A443" i="3"/>
  <c r="A447" i="4" s="1"/>
  <c r="B479" i="5" s="1"/>
  <c r="B443" i="3"/>
  <c r="B447" i="4" s="1"/>
  <c r="C443" i="3"/>
  <c r="D443" i="3"/>
  <c r="E443" i="3"/>
  <c r="A444" i="3"/>
  <c r="A448" i="4" s="1"/>
  <c r="B480" i="5" s="1"/>
  <c r="B444" i="3"/>
  <c r="B448" i="4" s="1"/>
  <c r="C444" i="3"/>
  <c r="D444" i="3"/>
  <c r="E444" i="3"/>
  <c r="A445" i="3"/>
  <c r="A449" i="4" s="1"/>
  <c r="B481" i="5" s="1"/>
  <c r="B445" i="3"/>
  <c r="B449" i="4" s="1"/>
  <c r="C445" i="3"/>
  <c r="D445" i="3"/>
  <c r="E445" i="3"/>
  <c r="A446" i="3"/>
  <c r="A450" i="4" s="1"/>
  <c r="B482" i="5" s="1"/>
  <c r="B446" i="3"/>
  <c r="B450" i="4" s="1"/>
  <c r="C446" i="3"/>
  <c r="D446" i="3"/>
  <c r="E446" i="3"/>
  <c r="A447" i="3"/>
  <c r="A451" i="4" s="1"/>
  <c r="B483" i="5" s="1"/>
  <c r="B447" i="3"/>
  <c r="B451" i="4" s="1"/>
  <c r="C447" i="3"/>
  <c r="D447" i="3"/>
  <c r="E447" i="3"/>
  <c r="A448" i="3"/>
  <c r="A452" i="4" s="1"/>
  <c r="B484" i="5" s="1"/>
  <c r="B448" i="3"/>
  <c r="B452" i="4" s="1"/>
  <c r="C448" i="3"/>
  <c r="D448" i="3"/>
  <c r="E448" i="3"/>
  <c r="A449" i="3"/>
  <c r="A453" i="4" s="1"/>
  <c r="B485" i="5" s="1"/>
  <c r="B449" i="3"/>
  <c r="B453" i="4" s="1"/>
  <c r="C449" i="3"/>
  <c r="D449" i="3"/>
  <c r="E449" i="3"/>
  <c r="A450" i="3"/>
  <c r="A454" i="4" s="1"/>
  <c r="B486" i="5" s="1"/>
  <c r="B450" i="3"/>
  <c r="B454" i="4" s="1"/>
  <c r="C450" i="3"/>
  <c r="D450" i="3"/>
  <c r="E450" i="3"/>
  <c r="A451" i="3"/>
  <c r="A455" i="4" s="1"/>
  <c r="B487" i="5" s="1"/>
  <c r="B451" i="3"/>
  <c r="B455" i="4" s="1"/>
  <c r="C451" i="3"/>
  <c r="D451" i="3"/>
  <c r="E451" i="3"/>
  <c r="A423" i="3"/>
  <c r="A427" i="4" s="1"/>
  <c r="B459" i="5" s="1"/>
  <c r="B423" i="3"/>
  <c r="B427" i="4" s="1"/>
  <c r="C423" i="3"/>
  <c r="D423" i="3"/>
  <c r="E423" i="3"/>
  <c r="A453" i="3"/>
  <c r="A457" i="4" s="1"/>
  <c r="B453" i="3"/>
  <c r="B457" i="4" s="1"/>
  <c r="C453" i="3"/>
  <c r="D453" i="3"/>
  <c r="E453" i="3"/>
  <c r="A454" i="3"/>
  <c r="A458" i="4" s="1"/>
  <c r="B454" i="3"/>
  <c r="B458" i="4" s="1"/>
  <c r="C454" i="3"/>
  <c r="D454" i="3"/>
  <c r="E454" i="3"/>
  <c r="A455" i="3"/>
  <c r="A459" i="4" s="1"/>
  <c r="B455" i="3"/>
  <c r="B459" i="4" s="1"/>
  <c r="C455" i="3"/>
  <c r="D455" i="3"/>
  <c r="E455" i="3"/>
  <c r="A456" i="3"/>
  <c r="A460" i="4" s="1"/>
  <c r="B456" i="3"/>
  <c r="B460" i="4" s="1"/>
  <c r="C456" i="3"/>
  <c r="D456" i="3"/>
  <c r="E456" i="3"/>
  <c r="A457" i="3"/>
  <c r="A461" i="4" s="1"/>
  <c r="B457" i="3"/>
  <c r="B461" i="4" s="1"/>
  <c r="C457" i="3"/>
  <c r="D457" i="3"/>
  <c r="E457" i="3"/>
  <c r="A458" i="3"/>
  <c r="A462" i="4" s="1"/>
  <c r="B458" i="3"/>
  <c r="B462" i="4" s="1"/>
  <c r="C458" i="3"/>
  <c r="D458" i="3"/>
  <c r="E458" i="3"/>
  <c r="A459" i="3"/>
  <c r="A463" i="4" s="1"/>
  <c r="B459" i="3"/>
  <c r="B463" i="4" s="1"/>
  <c r="C459" i="3"/>
  <c r="D459" i="3"/>
  <c r="E459" i="3"/>
  <c r="A461" i="3"/>
  <c r="A465" i="4" s="1"/>
  <c r="B461" i="3"/>
  <c r="B465" i="4" s="1"/>
  <c r="C461" i="3"/>
  <c r="D461" i="3"/>
  <c r="E461" i="3"/>
  <c r="A462" i="3"/>
  <c r="A466" i="4" s="1"/>
  <c r="B462" i="3"/>
  <c r="B466" i="4" s="1"/>
  <c r="C462" i="3"/>
  <c r="D462" i="3"/>
  <c r="E462" i="3"/>
  <c r="A463" i="3"/>
  <c r="A467" i="4" s="1"/>
  <c r="B463" i="3"/>
  <c r="B467" i="4" s="1"/>
  <c r="C463" i="3"/>
  <c r="D463" i="3"/>
  <c r="E463" i="3"/>
  <c r="A464" i="3"/>
  <c r="A468" i="4" s="1"/>
  <c r="B464" i="3"/>
  <c r="B468" i="4" s="1"/>
  <c r="C464" i="3"/>
  <c r="D464" i="3"/>
  <c r="E464" i="3"/>
  <c r="A465" i="3"/>
  <c r="A469" i="4" s="1"/>
  <c r="B465" i="3"/>
  <c r="B469" i="4" s="1"/>
  <c r="C465" i="3"/>
  <c r="D465" i="3"/>
  <c r="E465" i="3"/>
  <c r="B208" i="3"/>
  <c r="B212" i="4" s="1"/>
  <c r="C208" i="3"/>
  <c r="D208" i="3"/>
  <c r="E208" i="3"/>
  <c r="B209" i="3"/>
  <c r="B213" i="4" s="1"/>
  <c r="C209" i="3"/>
  <c r="D209" i="3"/>
  <c r="E209" i="3"/>
  <c r="B210" i="3"/>
  <c r="B214" i="4" s="1"/>
  <c r="C210" i="3"/>
  <c r="D210" i="3"/>
  <c r="E210" i="3"/>
  <c r="A208" i="3"/>
  <c r="A212" i="4" s="1"/>
  <c r="B244" i="5" s="1"/>
  <c r="A209" i="3"/>
  <c r="A213" i="4" s="1"/>
  <c r="B245" i="5" s="1"/>
  <c r="A210" i="3"/>
  <c r="A214" i="4" s="1"/>
  <c r="B246" i="5" s="1"/>
  <c r="C133" i="3"/>
  <c r="D133" i="3"/>
  <c r="E133" i="3"/>
  <c r="C134" i="3"/>
  <c r="D134" i="3"/>
  <c r="E134" i="3"/>
  <c r="C135" i="3"/>
  <c r="D135" i="3"/>
  <c r="E135" i="3"/>
  <c r="C136" i="3"/>
  <c r="D136" i="3"/>
  <c r="E136" i="3"/>
  <c r="C137" i="3"/>
  <c r="D137" i="3"/>
  <c r="E137" i="3"/>
  <c r="C138" i="3"/>
  <c r="D138" i="3"/>
  <c r="E138" i="3"/>
  <c r="B133" i="3"/>
  <c r="B137" i="4" s="1"/>
  <c r="B134" i="3"/>
  <c r="B138" i="4" s="1"/>
  <c r="B135" i="3"/>
  <c r="B139" i="4" s="1"/>
  <c r="B136" i="3"/>
  <c r="B140" i="4" s="1"/>
  <c r="B137" i="3"/>
  <c r="B141" i="4" s="1"/>
  <c r="B138" i="3"/>
  <c r="B142" i="4" s="1"/>
  <c r="A133" i="3"/>
  <c r="A137" i="4" s="1"/>
  <c r="B169" i="5" s="1"/>
  <c r="A134" i="3"/>
  <c r="A138" i="4" s="1"/>
  <c r="B170" i="5" s="1"/>
  <c r="A135" i="3"/>
  <c r="A139" i="4" s="1"/>
  <c r="B171" i="5" s="1"/>
  <c r="A136" i="3"/>
  <c r="A140" i="4" s="1"/>
  <c r="B172" i="5" s="1"/>
  <c r="A137" i="3"/>
  <c r="A141" i="4" s="1"/>
  <c r="B173" i="5" s="1"/>
  <c r="A138" i="3"/>
  <c r="A142" i="4" s="1"/>
  <c r="B174" i="5" s="1"/>
  <c r="C77" i="3"/>
  <c r="D77" i="3"/>
  <c r="E77" i="3"/>
  <c r="B77" i="3"/>
  <c r="B81" i="4" s="1"/>
  <c r="A77" i="3"/>
  <c r="A81" i="4" s="1"/>
  <c r="B113" i="5" s="1"/>
  <c r="A28" i="3"/>
  <c r="A32" i="4" s="1"/>
  <c r="B64" i="5" s="1"/>
  <c r="B28" i="3"/>
  <c r="B32" i="4" s="1"/>
  <c r="C28" i="3"/>
  <c r="D28" i="3"/>
  <c r="E28" i="3"/>
  <c r="X480" i="3" l="1"/>
  <c r="X416" i="3"/>
  <c r="X412" i="3"/>
  <c r="X463" i="3"/>
  <c r="X459" i="3"/>
  <c r="X455" i="3"/>
  <c r="X415" i="3"/>
  <c r="X411" i="3"/>
  <c r="X402" i="3"/>
  <c r="X398" i="3"/>
  <c r="X374" i="3"/>
  <c r="X370" i="3"/>
  <c r="X338" i="3"/>
  <c r="X334" i="3"/>
  <c r="X330" i="3"/>
  <c r="X326" i="3"/>
  <c r="X322" i="3"/>
  <c r="X302" i="3"/>
  <c r="X294" i="3"/>
  <c r="X290" i="3"/>
  <c r="X278" i="3"/>
  <c r="X254" i="3"/>
  <c r="X186" i="3"/>
  <c r="X178" i="3"/>
  <c r="X174" i="3"/>
  <c r="X163" i="3"/>
  <c r="X457" i="3"/>
  <c r="X413" i="3"/>
  <c r="X361" i="3"/>
  <c r="X345" i="3"/>
  <c r="X317" i="3"/>
  <c r="X273" i="3"/>
  <c r="X153" i="3"/>
  <c r="X105" i="3"/>
  <c r="X101" i="3"/>
  <c r="X97" i="3"/>
  <c r="X419" i="3"/>
  <c r="X387" i="3"/>
  <c r="X371" i="3"/>
  <c r="X351" i="3"/>
  <c r="X299" i="3"/>
  <c r="X279" i="3"/>
  <c r="X199" i="3"/>
  <c r="X187" i="3"/>
  <c r="X167" i="3"/>
  <c r="X482" i="3"/>
  <c r="X418" i="3"/>
  <c r="X414" i="3"/>
  <c r="X410" i="3"/>
  <c r="X394" i="3"/>
  <c r="X390" i="3"/>
  <c r="X386" i="3"/>
  <c r="X362" i="3"/>
  <c r="X358" i="3"/>
  <c r="X354" i="3"/>
  <c r="X350" i="3"/>
  <c r="X346" i="3"/>
  <c r="X310" i="3"/>
  <c r="X306" i="3"/>
  <c r="X282" i="3"/>
  <c r="X270" i="3"/>
  <c r="X222" i="3"/>
  <c r="X206" i="3"/>
  <c r="X198" i="3"/>
  <c r="X190" i="3"/>
  <c r="X182" i="3"/>
  <c r="X166" i="3"/>
  <c r="X158" i="3"/>
  <c r="X154" i="3"/>
  <c r="X146" i="3"/>
  <c r="X138" i="3"/>
  <c r="X114" i="3"/>
  <c r="X110" i="3"/>
  <c r="X94" i="3"/>
  <c r="X54" i="3"/>
  <c r="X50" i="3"/>
  <c r="X46" i="3"/>
  <c r="X42" i="3"/>
  <c r="X38" i="3"/>
  <c r="X118" i="3"/>
  <c r="X210" i="3"/>
  <c r="X135" i="3"/>
  <c r="X134" i="3"/>
  <c r="X453" i="3"/>
  <c r="X449" i="3"/>
  <c r="D451" i="4"/>
  <c r="F451" i="4" s="1"/>
  <c r="G451" i="4" s="1"/>
  <c r="H451" i="4" s="1"/>
  <c r="I451" i="4" s="1"/>
  <c r="C483" i="5" s="1"/>
  <c r="X445" i="3"/>
  <c r="X441" i="3"/>
  <c r="X437" i="3"/>
  <c r="X433" i="3"/>
  <c r="D435" i="4"/>
  <c r="F435" i="4" s="1"/>
  <c r="G435" i="4" s="1"/>
  <c r="H435" i="4" s="1"/>
  <c r="I435" i="4" s="1"/>
  <c r="C467" i="5" s="1"/>
  <c r="X429" i="3"/>
  <c r="X425" i="3"/>
  <c r="X462" i="3"/>
  <c r="X136" i="3"/>
  <c r="X461" i="3"/>
  <c r="X454" i="3"/>
  <c r="X446" i="3"/>
  <c r="X426" i="3"/>
  <c r="X424" i="3"/>
  <c r="X430" i="3"/>
  <c r="X438" i="3"/>
  <c r="X209" i="3"/>
  <c r="X465" i="3"/>
  <c r="X456" i="3"/>
  <c r="X448" i="3"/>
  <c r="X440" i="3"/>
  <c r="X428" i="3"/>
  <c r="X28" i="3"/>
  <c r="X464" i="3"/>
  <c r="X451" i="3"/>
  <c r="X447" i="3"/>
  <c r="X443" i="3"/>
  <c r="X439" i="3"/>
  <c r="X435" i="3"/>
  <c r="X431" i="3"/>
  <c r="X427" i="3"/>
  <c r="X77" i="3"/>
  <c r="X208" i="3"/>
  <c r="X423" i="3"/>
  <c r="X444" i="3"/>
  <c r="X436" i="3"/>
  <c r="X432" i="3"/>
  <c r="X137" i="3"/>
  <c r="X133" i="3"/>
  <c r="X458" i="3"/>
  <c r="D454" i="4"/>
  <c r="F454" i="4" s="1"/>
  <c r="D450" i="4"/>
  <c r="F450" i="4" s="1"/>
  <c r="G450" i="4" s="1"/>
  <c r="H450" i="4" s="1"/>
  <c r="I450" i="4" s="1"/>
  <c r="C482" i="5" s="1"/>
  <c r="D446" i="4"/>
  <c r="F446" i="4" s="1"/>
  <c r="D442" i="4"/>
  <c r="F442" i="4" s="1"/>
  <c r="G442" i="4" s="1"/>
  <c r="H442" i="4" s="1"/>
  <c r="I442" i="4" s="1"/>
  <c r="C474" i="5" s="1"/>
  <c r="D438" i="4"/>
  <c r="F438" i="4" s="1"/>
  <c r="D434" i="4"/>
  <c r="F434" i="4" s="1"/>
  <c r="G434" i="4" s="1"/>
  <c r="H434" i="4" s="1"/>
  <c r="I434" i="4" s="1"/>
  <c r="C466" i="5" s="1"/>
  <c r="X434" i="3"/>
  <c r="X442" i="3"/>
  <c r="X450" i="3"/>
  <c r="D439" i="4"/>
  <c r="F439" i="4" s="1"/>
  <c r="G439" i="4" s="1"/>
  <c r="H439" i="4" s="1"/>
  <c r="I439" i="4" s="1"/>
  <c r="C471" i="5" s="1"/>
  <c r="D447" i="4"/>
  <c r="F447" i="4" s="1"/>
  <c r="G447" i="4" s="1"/>
  <c r="H447" i="4" s="1"/>
  <c r="I447" i="4" s="1"/>
  <c r="C479" i="5" s="1"/>
  <c r="D443" i="4"/>
  <c r="F443" i="4" s="1"/>
  <c r="G443" i="4" s="1"/>
  <c r="H443" i="4" s="1"/>
  <c r="I443" i="4" s="1"/>
  <c r="C475" i="5" s="1"/>
  <c r="D431" i="4"/>
  <c r="F431" i="4" s="1"/>
  <c r="G431" i="4" s="1"/>
  <c r="H431" i="4" s="1"/>
  <c r="I431" i="4" s="1"/>
  <c r="C463" i="5" s="1"/>
  <c r="D430" i="4"/>
  <c r="F430" i="4" s="1"/>
  <c r="D449" i="4"/>
  <c r="F449" i="4" s="1"/>
  <c r="G449" i="4" s="1"/>
  <c r="H449" i="4" s="1"/>
  <c r="I449" i="4" s="1"/>
  <c r="C481" i="5" s="1"/>
  <c r="D433" i="4"/>
  <c r="F433" i="4" s="1"/>
  <c r="G433" i="4" s="1"/>
  <c r="H433" i="4" s="1"/>
  <c r="I433" i="4" s="1"/>
  <c r="C465" i="5" s="1"/>
  <c r="D429" i="4"/>
  <c r="F429" i="4" s="1"/>
  <c r="G429" i="4" s="1"/>
  <c r="H429" i="4" s="1"/>
  <c r="I429" i="4" s="1"/>
  <c r="C461" i="5" s="1"/>
  <c r="D445" i="4"/>
  <c r="F445" i="4" s="1"/>
  <c r="G445" i="4" s="1"/>
  <c r="H445" i="4" s="1"/>
  <c r="I445" i="4" s="1"/>
  <c r="C477" i="5" s="1"/>
  <c r="D437" i="4"/>
  <c r="F437" i="4" s="1"/>
  <c r="G437" i="4" s="1"/>
  <c r="H437" i="4" s="1"/>
  <c r="I437" i="4" s="1"/>
  <c r="C469" i="5" s="1"/>
  <c r="D452" i="4"/>
  <c r="F452" i="4" s="1"/>
  <c r="G452" i="4" s="1"/>
  <c r="H452" i="4" s="1"/>
  <c r="I452" i="4" s="1"/>
  <c r="C484" i="5" s="1"/>
  <c r="D448" i="4"/>
  <c r="F448" i="4" s="1"/>
  <c r="G448" i="4" s="1"/>
  <c r="H448" i="4" s="1"/>
  <c r="I448" i="4" s="1"/>
  <c r="C480" i="5" s="1"/>
  <c r="D444" i="4"/>
  <c r="F444" i="4" s="1"/>
  <c r="G444" i="4" s="1"/>
  <c r="H444" i="4" s="1"/>
  <c r="I444" i="4" s="1"/>
  <c r="C476" i="5" s="1"/>
  <c r="D440" i="4"/>
  <c r="D436" i="4"/>
  <c r="F436" i="4" s="1"/>
  <c r="G436" i="4" s="1"/>
  <c r="H436" i="4" s="1"/>
  <c r="I436" i="4" s="1"/>
  <c r="C468" i="5" s="1"/>
  <c r="D432" i="4"/>
  <c r="F432" i="4" s="1"/>
  <c r="G432" i="4" s="1"/>
  <c r="H432" i="4" s="1"/>
  <c r="I432" i="4" s="1"/>
  <c r="C464" i="5" s="1"/>
  <c r="D428" i="4"/>
  <c r="F428" i="4" s="1"/>
  <c r="G428" i="4" s="1"/>
  <c r="H428" i="4" s="1"/>
  <c r="I428" i="4" s="1"/>
  <c r="C460" i="5" s="1"/>
  <c r="D453" i="4"/>
  <c r="F453" i="4" s="1"/>
  <c r="G453" i="4" s="1"/>
  <c r="H453" i="4" s="1"/>
  <c r="I453" i="4" s="1"/>
  <c r="C485" i="5" s="1"/>
  <c r="D441" i="4"/>
  <c r="F441" i="4" s="1"/>
  <c r="G441" i="4" s="1"/>
  <c r="H441" i="4" s="1"/>
  <c r="I441" i="4" s="1"/>
  <c r="C473" i="5" s="1"/>
  <c r="G495" i="4"/>
  <c r="H495" i="4" s="1"/>
  <c r="I495" i="4" s="1"/>
  <c r="F494" i="4"/>
  <c r="G494" i="4" s="1"/>
  <c r="H494" i="4" s="1"/>
  <c r="I494" i="4" s="1"/>
  <c r="G493" i="4"/>
  <c r="H493" i="4" s="1"/>
  <c r="I493" i="4" s="1"/>
  <c r="F488" i="4"/>
  <c r="G488" i="4" s="1"/>
  <c r="G483" i="4"/>
  <c r="H483" i="4" s="1"/>
  <c r="I483" i="4" s="1"/>
  <c r="F480" i="4"/>
  <c r="G480" i="4" s="1"/>
  <c r="H480" i="4" s="1"/>
  <c r="I480" i="4" s="1"/>
  <c r="G477" i="4"/>
  <c r="H477" i="4" s="1"/>
  <c r="I477" i="4" s="1"/>
  <c r="F474" i="4"/>
  <c r="G474" i="4" s="1"/>
  <c r="H474" i="4" s="1"/>
  <c r="I474" i="4" s="1"/>
  <c r="F464" i="4"/>
  <c r="G464" i="4" s="1"/>
  <c r="H464" i="4" s="1"/>
  <c r="I464" i="4" s="1"/>
  <c r="F456" i="4"/>
  <c r="G456" i="4" s="1"/>
  <c r="H456" i="4" s="1"/>
  <c r="I456" i="4" s="1"/>
  <c r="F440" i="4"/>
  <c r="G440" i="4" s="1"/>
  <c r="H440" i="4" s="1"/>
  <c r="I440" i="4" s="1"/>
  <c r="C472" i="5" s="1"/>
  <c r="F426" i="4"/>
  <c r="G426" i="4" s="1"/>
  <c r="G65" i="4"/>
  <c r="H65" i="4" s="1"/>
  <c r="I65" i="4" s="1"/>
  <c r="C97" i="5" s="1"/>
  <c r="F273" i="4"/>
  <c r="G273" i="4" s="1"/>
  <c r="H273" i="4" s="1"/>
  <c r="I273" i="4" s="1"/>
  <c r="C305" i="5" s="1"/>
  <c r="F268" i="4"/>
  <c r="G268" i="4" s="1"/>
  <c r="H268" i="4" s="1"/>
  <c r="F264" i="4"/>
  <c r="G264" i="4" s="1"/>
  <c r="H264" i="4" s="1"/>
  <c r="F254" i="4"/>
  <c r="G254" i="4" s="1"/>
  <c r="H254" i="4" s="1"/>
  <c r="F251" i="4"/>
  <c r="G251" i="4" s="1"/>
  <c r="H251" i="4" s="1"/>
  <c r="I251" i="4" s="1"/>
  <c r="C283" i="5" s="1"/>
  <c r="F245" i="4"/>
  <c r="G245" i="4" s="1"/>
  <c r="H245" i="4" s="1"/>
  <c r="I245" i="4" s="1"/>
  <c r="C277" i="5" s="1"/>
  <c r="G239" i="4"/>
  <c r="H239" i="4" s="1"/>
  <c r="I239" i="4" s="1"/>
  <c r="C271" i="5" s="1"/>
  <c r="F232" i="4"/>
  <c r="G232" i="4" s="1"/>
  <c r="H232" i="4" s="1"/>
  <c r="I232" i="4" s="1"/>
  <c r="C264" i="5" s="1"/>
  <c r="F228" i="4"/>
  <c r="G228" i="4" s="1"/>
  <c r="H228" i="4" s="1"/>
  <c r="I228" i="4" s="1"/>
  <c r="C260" i="5" s="1"/>
  <c r="F220" i="4"/>
  <c r="G220" i="4" s="1"/>
  <c r="H220" i="4" s="1"/>
  <c r="I220" i="4" s="1"/>
  <c r="C252" i="5" s="1"/>
  <c r="F211" i="4"/>
  <c r="G211" i="4" s="1"/>
  <c r="H211" i="4" s="1"/>
  <c r="I211" i="4" s="1"/>
  <c r="C243" i="5" s="1"/>
  <c r="F204" i="4"/>
  <c r="G204" i="4" s="1"/>
  <c r="H204" i="4" s="1"/>
  <c r="I204" i="4" s="1"/>
  <c r="C236" i="5" s="1"/>
  <c r="F198" i="4"/>
  <c r="H189" i="4"/>
  <c r="I189" i="4" s="1"/>
  <c r="C221" i="5" s="1"/>
  <c r="H166" i="4"/>
  <c r="I166" i="4" s="1"/>
  <c r="C198" i="5" s="1"/>
  <c r="H154" i="4"/>
  <c r="I154" i="4" s="1"/>
  <c r="C186" i="5" s="1"/>
  <c r="G130" i="4"/>
  <c r="H130" i="4" s="1"/>
  <c r="I130" i="4" s="1"/>
  <c r="C162" i="5" s="1"/>
  <c r="H123" i="4"/>
  <c r="H117" i="4"/>
  <c r="I117" i="4" s="1"/>
  <c r="C149" i="5" s="1"/>
  <c r="G100" i="4"/>
  <c r="H100" i="4" s="1"/>
  <c r="I100" i="4" s="1"/>
  <c r="C132" i="5" s="1"/>
  <c r="G93" i="4"/>
  <c r="H93" i="4" s="1"/>
  <c r="I93" i="4" s="1"/>
  <c r="C125" i="5" s="1"/>
  <c r="F90" i="4"/>
  <c r="G90" i="4" s="1"/>
  <c r="H90" i="4" s="1"/>
  <c r="I90" i="4" s="1"/>
  <c r="C122" i="5" s="1"/>
  <c r="F86" i="4"/>
  <c r="G86" i="4" s="1"/>
  <c r="H86" i="4" s="1"/>
  <c r="F83" i="4"/>
  <c r="G83" i="4" s="1"/>
  <c r="H83" i="4" s="1"/>
  <c r="F78" i="4"/>
  <c r="G78" i="4" s="1"/>
  <c r="H78" i="4" s="1"/>
  <c r="F71" i="4"/>
  <c r="G71" i="4" s="1"/>
  <c r="H71" i="4" s="1"/>
  <c r="F41" i="4"/>
  <c r="G41" i="4" s="1"/>
  <c r="H41" i="4" s="1"/>
  <c r="I41" i="4" s="1"/>
  <c r="C73" i="5" s="1"/>
  <c r="F30" i="4"/>
  <c r="G30" i="4" s="1"/>
  <c r="H30" i="4" s="1"/>
  <c r="H15" i="4"/>
  <c r="I15" i="4" s="1"/>
  <c r="C47" i="5" s="1"/>
  <c r="G173" i="4"/>
  <c r="H173" i="4" s="1"/>
  <c r="I173" i="4" s="1"/>
  <c r="C205" i="5" s="1"/>
  <c r="G151" i="4"/>
  <c r="H151" i="4" s="1"/>
  <c r="I151" i="4" s="1"/>
  <c r="C183" i="5" s="1"/>
  <c r="G143" i="4"/>
  <c r="H143" i="4" s="1"/>
  <c r="I143" i="4" s="1"/>
  <c r="C175" i="5" s="1"/>
  <c r="G60" i="4"/>
  <c r="H60" i="4" s="1"/>
  <c r="I60" i="4" s="1"/>
  <c r="C92" i="5" s="1"/>
  <c r="I123" i="4"/>
  <c r="C155" i="5" s="1"/>
  <c r="G56" i="4"/>
  <c r="H56" i="4" s="1"/>
  <c r="I56" i="4" s="1"/>
  <c r="C88" i="5" s="1"/>
  <c r="D213" i="4"/>
  <c r="F213" i="4" s="1"/>
  <c r="G213" i="4" s="1"/>
  <c r="H213" i="4" s="1"/>
  <c r="I213" i="4" s="1"/>
  <c r="C245" i="5" s="1"/>
  <c r="D214" i="4"/>
  <c r="D212" i="4"/>
  <c r="F212" i="4" s="1"/>
  <c r="D138" i="4"/>
  <c r="F138" i="4" s="1"/>
  <c r="D140" i="4"/>
  <c r="D142" i="4"/>
  <c r="D139" i="4"/>
  <c r="D141" i="4"/>
  <c r="D137" i="4"/>
  <c r="F137" i="4" s="1"/>
  <c r="D81" i="4"/>
  <c r="F81" i="4" s="1"/>
  <c r="D32" i="4"/>
  <c r="K29" i="4"/>
  <c r="K30" i="4"/>
  <c r="K31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G454" i="4" l="1"/>
  <c r="H454" i="4" s="1"/>
  <c r="I454" i="4" s="1"/>
  <c r="C486" i="5" s="1"/>
  <c r="G438" i="4"/>
  <c r="H438" i="4" s="1"/>
  <c r="I438" i="4" s="1"/>
  <c r="C470" i="5" s="1"/>
  <c r="G446" i="4"/>
  <c r="H446" i="4" s="1"/>
  <c r="I446" i="4" s="1"/>
  <c r="C478" i="5" s="1"/>
  <c r="G430" i="4"/>
  <c r="H430" i="4" s="1"/>
  <c r="I430" i="4" s="1"/>
  <c r="C462" i="5" s="1"/>
  <c r="F214" i="4"/>
  <c r="G214" i="4" s="1"/>
  <c r="H214" i="4" s="1"/>
  <c r="I214" i="4" s="1"/>
  <c r="C246" i="5" s="1"/>
  <c r="F140" i="4"/>
  <c r="G140" i="4" s="1"/>
  <c r="H140" i="4" s="1"/>
  <c r="I140" i="4" s="1"/>
  <c r="C172" i="5" s="1"/>
  <c r="G137" i="4"/>
  <c r="H137" i="4" s="1"/>
  <c r="I137" i="4" s="1"/>
  <c r="C169" i="5" s="1"/>
  <c r="F141" i="4"/>
  <c r="G141" i="4" s="1"/>
  <c r="H141" i="4" s="1"/>
  <c r="I141" i="4" s="1"/>
  <c r="C173" i="5" s="1"/>
  <c r="F142" i="4"/>
  <c r="G142" i="4" s="1"/>
  <c r="H142" i="4" s="1"/>
  <c r="I142" i="4" s="1"/>
  <c r="C174" i="5" s="1"/>
  <c r="F32" i="4"/>
  <c r="G32" i="4" s="1"/>
  <c r="H32" i="4" s="1"/>
  <c r="I32" i="4" s="1"/>
  <c r="C64" i="5" s="1"/>
  <c r="F139" i="4"/>
  <c r="G139" i="4" s="1"/>
  <c r="H139" i="4" s="1"/>
  <c r="I139" i="4" s="1"/>
  <c r="C171" i="5" s="1"/>
  <c r="G212" i="4"/>
  <c r="H212" i="4" s="1"/>
  <c r="I212" i="4" s="1"/>
  <c r="C244" i="5" s="1"/>
  <c r="G138" i="4"/>
  <c r="H138" i="4" s="1"/>
  <c r="I138" i="4" s="1"/>
  <c r="C170" i="5" s="1"/>
  <c r="H488" i="4"/>
  <c r="I488" i="4" s="1"/>
  <c r="H426" i="4"/>
  <c r="I426" i="4" s="1"/>
  <c r="C458" i="5" s="1"/>
  <c r="I78" i="4"/>
  <c r="C110" i="5" s="1"/>
  <c r="G81" i="4"/>
  <c r="H81" i="4" s="1"/>
  <c r="I81" i="4" s="1"/>
  <c r="C113" i="5" s="1"/>
  <c r="I71" i="4"/>
  <c r="C103" i="5" s="1"/>
  <c r="I83" i="4"/>
  <c r="C115" i="5" s="1"/>
  <c r="I254" i="4"/>
  <c r="C286" i="5" s="1"/>
  <c r="I86" i="4"/>
  <c r="C118" i="5" s="1"/>
  <c r="I264" i="4"/>
  <c r="C296" i="5" s="1"/>
  <c r="I30" i="4"/>
  <c r="C62" i="5" s="1"/>
  <c r="G198" i="4"/>
  <c r="H198" i="4" s="1"/>
  <c r="I198" i="4" s="1"/>
  <c r="C230" i="5" s="1"/>
  <c r="I268" i="4"/>
  <c r="C300" i="5" s="1"/>
  <c r="B421" i="3"/>
  <c r="B425" i="4" s="1"/>
  <c r="C421" i="3"/>
  <c r="D421" i="3"/>
  <c r="E421" i="3"/>
  <c r="U423" i="3" l="1"/>
  <c r="D455" i="4" l="1"/>
  <c r="F455" i="4" s="1"/>
  <c r="G455" i="4" s="1"/>
  <c r="H455" i="4" s="1"/>
  <c r="I455" i="4" s="1"/>
  <c r="C487" i="5" s="1"/>
  <c r="D427" i="4"/>
  <c r="F427" i="4" s="1"/>
  <c r="G427" i="4" s="1"/>
  <c r="H427" i="4" s="1"/>
  <c r="I427" i="4" s="1"/>
  <c r="C459" i="5" s="1"/>
  <c r="C6" i="4"/>
  <c r="E471" i="3" l="1"/>
  <c r="E472" i="3"/>
  <c r="E474" i="3"/>
  <c r="E475" i="3"/>
  <c r="E477" i="3"/>
  <c r="E478" i="3"/>
  <c r="E480" i="3"/>
  <c r="E481" i="3"/>
  <c r="E482" i="3"/>
  <c r="E483" i="3"/>
  <c r="E485" i="3"/>
  <c r="E486" i="3"/>
  <c r="E487" i="3"/>
  <c r="E488" i="3"/>
  <c r="E466" i="3"/>
  <c r="E467" i="3"/>
  <c r="E468" i="3"/>
  <c r="E469" i="3"/>
  <c r="E252" i="3"/>
  <c r="E253" i="3"/>
  <c r="E254" i="3"/>
  <c r="E255" i="3"/>
  <c r="E256" i="3"/>
  <c r="E257" i="3"/>
  <c r="E258" i="3"/>
  <c r="E259" i="3"/>
  <c r="E261" i="3"/>
  <c r="E262" i="3"/>
  <c r="E263" i="3"/>
  <c r="E265" i="3"/>
  <c r="E266" i="3"/>
  <c r="E267" i="3"/>
  <c r="E268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251" i="3"/>
  <c r="E196" i="3"/>
  <c r="E197" i="3"/>
  <c r="E198" i="3"/>
  <c r="E199" i="3"/>
  <c r="E201" i="3"/>
  <c r="E202" i="3"/>
  <c r="E203" i="3"/>
  <c r="E204" i="3"/>
  <c r="E205" i="3"/>
  <c r="E206" i="3"/>
  <c r="E211" i="3"/>
  <c r="E212" i="3"/>
  <c r="E213" i="3"/>
  <c r="E214" i="3"/>
  <c r="E215" i="3"/>
  <c r="E217" i="3"/>
  <c r="E218" i="3"/>
  <c r="E219" i="3"/>
  <c r="E220" i="3"/>
  <c r="E221" i="3"/>
  <c r="E222" i="3"/>
  <c r="E223" i="3"/>
  <c r="E225" i="3"/>
  <c r="E226" i="3"/>
  <c r="E227" i="3"/>
  <c r="E229" i="3"/>
  <c r="E230" i="3"/>
  <c r="E231" i="3"/>
  <c r="E232" i="3"/>
  <c r="E233" i="3"/>
  <c r="E234" i="3"/>
  <c r="E236" i="3"/>
  <c r="E237" i="3"/>
  <c r="E238" i="3"/>
  <c r="E239" i="3"/>
  <c r="E240" i="3"/>
  <c r="E242" i="3"/>
  <c r="E243" i="3"/>
  <c r="E244" i="3"/>
  <c r="E245" i="3"/>
  <c r="E246" i="3"/>
  <c r="E248" i="3"/>
  <c r="E249" i="3"/>
  <c r="E195" i="3"/>
  <c r="E128" i="3"/>
  <c r="E129" i="3"/>
  <c r="E130" i="3"/>
  <c r="E131" i="3"/>
  <c r="E132" i="3"/>
  <c r="E140" i="3"/>
  <c r="E141" i="3"/>
  <c r="E142" i="3"/>
  <c r="E143" i="3"/>
  <c r="E144" i="3"/>
  <c r="E145" i="3"/>
  <c r="E146" i="3"/>
  <c r="E148" i="3"/>
  <c r="E149" i="3"/>
  <c r="E151" i="3"/>
  <c r="E152" i="3"/>
  <c r="E153" i="3"/>
  <c r="E154" i="3"/>
  <c r="E155" i="3"/>
  <c r="E156" i="3"/>
  <c r="E157" i="3"/>
  <c r="E158" i="3"/>
  <c r="E159" i="3"/>
  <c r="W159" i="3" s="1"/>
  <c r="E160" i="3"/>
  <c r="E161" i="3"/>
  <c r="E163" i="3"/>
  <c r="E164" i="3"/>
  <c r="E165" i="3"/>
  <c r="E166" i="3"/>
  <c r="E167" i="3"/>
  <c r="E168" i="3"/>
  <c r="E170" i="3"/>
  <c r="W170" i="3" s="1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6" i="3"/>
  <c r="E187" i="3"/>
  <c r="E188" i="3"/>
  <c r="E189" i="3"/>
  <c r="E190" i="3"/>
  <c r="E191" i="3"/>
  <c r="E192" i="3"/>
  <c r="E193" i="3"/>
  <c r="E127" i="3"/>
  <c r="D63" i="3"/>
  <c r="E63" i="3"/>
  <c r="D64" i="3"/>
  <c r="E64" i="3"/>
  <c r="D65" i="3"/>
  <c r="E65" i="3"/>
  <c r="D66" i="3"/>
  <c r="E66" i="3"/>
  <c r="D68" i="3"/>
  <c r="E68" i="3"/>
  <c r="D69" i="3"/>
  <c r="E69" i="3"/>
  <c r="D70" i="3"/>
  <c r="E70" i="3"/>
  <c r="D71" i="3"/>
  <c r="E71" i="3"/>
  <c r="D72" i="3"/>
  <c r="E72" i="3"/>
  <c r="D73" i="3"/>
  <c r="E73" i="3"/>
  <c r="D75" i="3"/>
  <c r="E75" i="3"/>
  <c r="D76" i="3"/>
  <c r="E76" i="3"/>
  <c r="D78" i="3"/>
  <c r="E78" i="3"/>
  <c r="D80" i="3"/>
  <c r="E80" i="3"/>
  <c r="D81" i="3"/>
  <c r="E81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4" i="3"/>
  <c r="E114" i="3"/>
  <c r="D115" i="3"/>
  <c r="E115" i="3"/>
  <c r="D116" i="3"/>
  <c r="E116" i="3"/>
  <c r="D117" i="3"/>
  <c r="E117" i="3"/>
  <c r="D118" i="3"/>
  <c r="E118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E62" i="3"/>
  <c r="K8" i="4"/>
  <c r="B380" i="3"/>
  <c r="B384" i="4" s="1"/>
  <c r="C380" i="3"/>
  <c r="D380" i="3"/>
  <c r="B374" i="3"/>
  <c r="B378" i="4" s="1"/>
  <c r="C374" i="3"/>
  <c r="D374" i="3"/>
  <c r="B364" i="3"/>
  <c r="B368" i="4" s="1"/>
  <c r="C364" i="3"/>
  <c r="D364" i="3"/>
  <c r="K28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6" i="4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7" i="3"/>
  <c r="E27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3" i="3"/>
  <c r="E53" i="3"/>
  <c r="D54" i="3"/>
  <c r="E54" i="3"/>
  <c r="D55" i="3"/>
  <c r="E55" i="3"/>
  <c r="D57" i="3"/>
  <c r="E57" i="3"/>
  <c r="D58" i="3"/>
  <c r="E58" i="3"/>
  <c r="D59" i="3"/>
  <c r="E59" i="3"/>
  <c r="D60" i="3"/>
  <c r="E60" i="3"/>
  <c r="D3" i="3"/>
  <c r="D4" i="3"/>
  <c r="E4" i="3"/>
  <c r="D5" i="3"/>
  <c r="D6" i="3"/>
  <c r="E6" i="3"/>
  <c r="D7" i="3"/>
  <c r="D8" i="3"/>
  <c r="D9" i="3"/>
  <c r="D10" i="3"/>
  <c r="E10" i="3"/>
  <c r="E2" i="3"/>
  <c r="W2" i="3" s="1"/>
  <c r="X403" i="3" l="1"/>
  <c r="U403" i="3"/>
  <c r="X404" i="3"/>
  <c r="U404" i="3"/>
  <c r="U405" i="3"/>
  <c r="X405" i="3"/>
  <c r="U406" i="3"/>
  <c r="X406" i="3"/>
  <c r="U408" i="3"/>
  <c r="U407" i="3"/>
  <c r="D368" i="4"/>
  <c r="F368" i="4" s="1"/>
  <c r="G368" i="4" s="1"/>
  <c r="H368" i="4" s="1"/>
  <c r="I368" i="4" s="1"/>
  <c r="C400" i="5" s="1"/>
  <c r="D384" i="4"/>
  <c r="F384" i="4" s="1"/>
  <c r="G384" i="4" s="1"/>
  <c r="H384" i="4" s="1"/>
  <c r="I384" i="4" s="1"/>
  <c r="C416" i="5" s="1"/>
  <c r="D378" i="4"/>
  <c r="F378" i="4" s="1"/>
  <c r="G378" i="4" s="1"/>
  <c r="H378" i="4" s="1"/>
  <c r="I378" i="4" s="1"/>
  <c r="C410" i="5" s="1"/>
  <c r="A71" i="3"/>
  <c r="A75" i="4" s="1"/>
  <c r="B107" i="5" s="1"/>
  <c r="A252" i="3"/>
  <c r="A256" i="4" s="1"/>
  <c r="B288" i="5" s="1"/>
  <c r="B252" i="3"/>
  <c r="B256" i="4" s="1"/>
  <c r="C252" i="3"/>
  <c r="D252" i="3"/>
  <c r="A253" i="3"/>
  <c r="A257" i="4" s="1"/>
  <c r="B289" i="5" s="1"/>
  <c r="B253" i="3"/>
  <c r="B257" i="4" s="1"/>
  <c r="C253" i="3"/>
  <c r="D253" i="3"/>
  <c r="A254" i="3"/>
  <c r="A258" i="4" s="1"/>
  <c r="B290" i="5" s="1"/>
  <c r="B254" i="3"/>
  <c r="B258" i="4" s="1"/>
  <c r="C254" i="3"/>
  <c r="D254" i="3"/>
  <c r="A255" i="3"/>
  <c r="A259" i="4" s="1"/>
  <c r="B291" i="5" s="1"/>
  <c r="B255" i="3"/>
  <c r="B259" i="4" s="1"/>
  <c r="C255" i="3"/>
  <c r="D255" i="3"/>
  <c r="A256" i="3"/>
  <c r="A260" i="4" s="1"/>
  <c r="B292" i="5" s="1"/>
  <c r="B256" i="3"/>
  <c r="B260" i="4" s="1"/>
  <c r="C256" i="3"/>
  <c r="D256" i="3"/>
  <c r="A257" i="3"/>
  <c r="A261" i="4" s="1"/>
  <c r="B293" i="5" s="1"/>
  <c r="B257" i="3"/>
  <c r="B261" i="4" s="1"/>
  <c r="C257" i="3"/>
  <c r="D257" i="3"/>
  <c r="A258" i="3"/>
  <c r="A262" i="4" s="1"/>
  <c r="B294" i="5" s="1"/>
  <c r="B258" i="3"/>
  <c r="B262" i="4" s="1"/>
  <c r="C258" i="3"/>
  <c r="D258" i="3"/>
  <c r="A259" i="3"/>
  <c r="A263" i="4" s="1"/>
  <c r="B295" i="5" s="1"/>
  <c r="B259" i="3"/>
  <c r="B263" i="4" s="1"/>
  <c r="C259" i="3"/>
  <c r="D259" i="3"/>
  <c r="A261" i="3"/>
  <c r="A265" i="4" s="1"/>
  <c r="B297" i="5" s="1"/>
  <c r="B261" i="3"/>
  <c r="B265" i="4" s="1"/>
  <c r="C261" i="3"/>
  <c r="D261" i="3"/>
  <c r="A262" i="3"/>
  <c r="A266" i="4" s="1"/>
  <c r="B298" i="5" s="1"/>
  <c r="B262" i="3"/>
  <c r="B266" i="4" s="1"/>
  <c r="C262" i="3"/>
  <c r="D262" i="3"/>
  <c r="A263" i="3"/>
  <c r="A267" i="4" s="1"/>
  <c r="B299" i="5" s="1"/>
  <c r="B263" i="3"/>
  <c r="B267" i="4" s="1"/>
  <c r="C263" i="3"/>
  <c r="D263" i="3"/>
  <c r="A265" i="3"/>
  <c r="A269" i="4" s="1"/>
  <c r="B301" i="5" s="1"/>
  <c r="B265" i="3"/>
  <c r="B269" i="4" s="1"/>
  <c r="C265" i="3"/>
  <c r="D265" i="3"/>
  <c r="A266" i="3"/>
  <c r="A270" i="4" s="1"/>
  <c r="B302" i="5" s="1"/>
  <c r="B266" i="3"/>
  <c r="B270" i="4" s="1"/>
  <c r="C266" i="3"/>
  <c r="D266" i="3"/>
  <c r="A267" i="3"/>
  <c r="A271" i="4" s="1"/>
  <c r="B303" i="5" s="1"/>
  <c r="B267" i="3"/>
  <c r="B271" i="4" s="1"/>
  <c r="C267" i="3"/>
  <c r="D267" i="3"/>
  <c r="A268" i="3"/>
  <c r="A272" i="4" s="1"/>
  <c r="B304" i="5" s="1"/>
  <c r="B268" i="3"/>
  <c r="B272" i="4" s="1"/>
  <c r="C268" i="3"/>
  <c r="D268" i="3"/>
  <c r="A270" i="3"/>
  <c r="A274" i="4" s="1"/>
  <c r="B306" i="5" s="1"/>
  <c r="B270" i="3"/>
  <c r="B274" i="4" s="1"/>
  <c r="C270" i="3"/>
  <c r="D270" i="3"/>
  <c r="A271" i="3"/>
  <c r="A275" i="4" s="1"/>
  <c r="B307" i="5" s="1"/>
  <c r="B271" i="3"/>
  <c r="B275" i="4" s="1"/>
  <c r="C271" i="3"/>
  <c r="D271" i="3"/>
  <c r="A272" i="3"/>
  <c r="A276" i="4" s="1"/>
  <c r="B308" i="5" s="1"/>
  <c r="B272" i="3"/>
  <c r="B276" i="4" s="1"/>
  <c r="C272" i="3"/>
  <c r="D272" i="3"/>
  <c r="A273" i="3"/>
  <c r="A277" i="4" s="1"/>
  <c r="B309" i="5" s="1"/>
  <c r="B273" i="3"/>
  <c r="B277" i="4" s="1"/>
  <c r="C273" i="3"/>
  <c r="D273" i="3"/>
  <c r="A274" i="3"/>
  <c r="A278" i="4" s="1"/>
  <c r="B310" i="5" s="1"/>
  <c r="B274" i="3"/>
  <c r="B278" i="4" s="1"/>
  <c r="C274" i="3"/>
  <c r="D274" i="3"/>
  <c r="A275" i="3"/>
  <c r="A279" i="4" s="1"/>
  <c r="B311" i="5" s="1"/>
  <c r="B275" i="3"/>
  <c r="B279" i="4" s="1"/>
  <c r="C275" i="3"/>
  <c r="D275" i="3"/>
  <c r="A276" i="3"/>
  <c r="A280" i="4" s="1"/>
  <c r="B312" i="5" s="1"/>
  <c r="B276" i="3"/>
  <c r="B280" i="4" s="1"/>
  <c r="C276" i="3"/>
  <c r="D276" i="3"/>
  <c r="A277" i="3"/>
  <c r="A281" i="4" s="1"/>
  <c r="B313" i="5" s="1"/>
  <c r="B277" i="3"/>
  <c r="B281" i="4" s="1"/>
  <c r="C277" i="3"/>
  <c r="D277" i="3"/>
  <c r="A278" i="3"/>
  <c r="A282" i="4" s="1"/>
  <c r="B314" i="5" s="1"/>
  <c r="B278" i="3"/>
  <c r="B282" i="4" s="1"/>
  <c r="C278" i="3"/>
  <c r="D278" i="3"/>
  <c r="A279" i="3"/>
  <c r="A283" i="4" s="1"/>
  <c r="B315" i="5" s="1"/>
  <c r="B279" i="3"/>
  <c r="B283" i="4" s="1"/>
  <c r="C279" i="3"/>
  <c r="D279" i="3"/>
  <c r="A280" i="3"/>
  <c r="A284" i="4" s="1"/>
  <c r="B316" i="5" s="1"/>
  <c r="B280" i="3"/>
  <c r="B284" i="4" s="1"/>
  <c r="C280" i="3"/>
  <c r="D280" i="3"/>
  <c r="A281" i="3"/>
  <c r="A285" i="4" s="1"/>
  <c r="B317" i="5" s="1"/>
  <c r="B281" i="3"/>
  <c r="B285" i="4" s="1"/>
  <c r="C281" i="3"/>
  <c r="D281" i="3"/>
  <c r="A282" i="3"/>
  <c r="A286" i="4" s="1"/>
  <c r="B318" i="5" s="1"/>
  <c r="B282" i="3"/>
  <c r="B286" i="4" s="1"/>
  <c r="C282" i="3"/>
  <c r="D282" i="3"/>
  <c r="A283" i="3"/>
  <c r="A287" i="4" s="1"/>
  <c r="B319" i="5" s="1"/>
  <c r="B283" i="3"/>
  <c r="B287" i="4" s="1"/>
  <c r="C283" i="3"/>
  <c r="D283" i="3"/>
  <c r="A284" i="3"/>
  <c r="A288" i="4" s="1"/>
  <c r="B320" i="5" s="1"/>
  <c r="B284" i="3"/>
  <c r="B288" i="4" s="1"/>
  <c r="C284" i="3"/>
  <c r="D284" i="3"/>
  <c r="A285" i="3"/>
  <c r="A289" i="4" s="1"/>
  <c r="B321" i="5" s="1"/>
  <c r="B285" i="3"/>
  <c r="B289" i="4" s="1"/>
  <c r="C285" i="3"/>
  <c r="D285" i="3"/>
  <c r="A286" i="3"/>
  <c r="A290" i="4" s="1"/>
  <c r="B322" i="5" s="1"/>
  <c r="B286" i="3"/>
  <c r="B290" i="4" s="1"/>
  <c r="C286" i="3"/>
  <c r="D286" i="3"/>
  <c r="A287" i="3"/>
  <c r="A291" i="4" s="1"/>
  <c r="B323" i="5" s="1"/>
  <c r="B287" i="3"/>
  <c r="B291" i="4" s="1"/>
  <c r="C287" i="3"/>
  <c r="D287" i="3"/>
  <c r="A288" i="3"/>
  <c r="A292" i="4" s="1"/>
  <c r="B324" i="5" s="1"/>
  <c r="B288" i="3"/>
  <c r="B292" i="4" s="1"/>
  <c r="C288" i="3"/>
  <c r="D288" i="3"/>
  <c r="A289" i="3"/>
  <c r="A293" i="4" s="1"/>
  <c r="B325" i="5" s="1"/>
  <c r="B289" i="3"/>
  <c r="B293" i="4" s="1"/>
  <c r="C289" i="3"/>
  <c r="D289" i="3"/>
  <c r="A290" i="3"/>
  <c r="A294" i="4" s="1"/>
  <c r="B326" i="5" s="1"/>
  <c r="B290" i="3"/>
  <c r="B294" i="4" s="1"/>
  <c r="C290" i="3"/>
  <c r="D290" i="3"/>
  <c r="A291" i="3"/>
  <c r="A295" i="4" s="1"/>
  <c r="B327" i="5" s="1"/>
  <c r="B291" i="3"/>
  <c r="B295" i="4" s="1"/>
  <c r="C291" i="3"/>
  <c r="D291" i="3"/>
  <c r="A292" i="3"/>
  <c r="A296" i="4" s="1"/>
  <c r="B328" i="5" s="1"/>
  <c r="B292" i="3"/>
  <c r="B296" i="4" s="1"/>
  <c r="C292" i="3"/>
  <c r="D292" i="3"/>
  <c r="A293" i="3"/>
  <c r="A297" i="4" s="1"/>
  <c r="B329" i="5" s="1"/>
  <c r="B293" i="3"/>
  <c r="B297" i="4" s="1"/>
  <c r="C293" i="3"/>
  <c r="D293" i="3"/>
  <c r="A294" i="3"/>
  <c r="A298" i="4" s="1"/>
  <c r="B330" i="5" s="1"/>
  <c r="B294" i="3"/>
  <c r="B298" i="4" s="1"/>
  <c r="C294" i="3"/>
  <c r="D294" i="3"/>
  <c r="A295" i="3"/>
  <c r="A299" i="4" s="1"/>
  <c r="B331" i="5" s="1"/>
  <c r="B295" i="3"/>
  <c r="B299" i="4" s="1"/>
  <c r="C295" i="3"/>
  <c r="D295" i="3"/>
  <c r="A296" i="3"/>
  <c r="A300" i="4" s="1"/>
  <c r="B332" i="5" s="1"/>
  <c r="B296" i="3"/>
  <c r="B300" i="4" s="1"/>
  <c r="C296" i="3"/>
  <c r="D296" i="3"/>
  <c r="A297" i="3"/>
  <c r="A301" i="4" s="1"/>
  <c r="B333" i="5" s="1"/>
  <c r="B297" i="3"/>
  <c r="B301" i="4" s="1"/>
  <c r="C297" i="3"/>
  <c r="D297" i="3"/>
  <c r="A298" i="3"/>
  <c r="A302" i="4" s="1"/>
  <c r="B334" i="5" s="1"/>
  <c r="B298" i="3"/>
  <c r="B302" i="4" s="1"/>
  <c r="C298" i="3"/>
  <c r="D298" i="3"/>
  <c r="A299" i="3"/>
  <c r="A303" i="4" s="1"/>
  <c r="B335" i="5" s="1"/>
  <c r="B299" i="3"/>
  <c r="B303" i="4" s="1"/>
  <c r="C299" i="3"/>
  <c r="D299" i="3"/>
  <c r="A300" i="3"/>
  <c r="A304" i="4" s="1"/>
  <c r="B336" i="5" s="1"/>
  <c r="B300" i="3"/>
  <c r="B304" i="4" s="1"/>
  <c r="C300" i="3"/>
  <c r="D300" i="3"/>
  <c r="A301" i="3"/>
  <c r="A305" i="4" s="1"/>
  <c r="B337" i="5" s="1"/>
  <c r="B301" i="3"/>
  <c r="B305" i="4" s="1"/>
  <c r="C301" i="3"/>
  <c r="D301" i="3"/>
  <c r="A302" i="3"/>
  <c r="A306" i="4" s="1"/>
  <c r="B338" i="5" s="1"/>
  <c r="B302" i="3"/>
  <c r="B306" i="4" s="1"/>
  <c r="C302" i="3"/>
  <c r="D302" i="3"/>
  <c r="A303" i="3"/>
  <c r="A307" i="4" s="1"/>
  <c r="B339" i="5" s="1"/>
  <c r="B303" i="3"/>
  <c r="B307" i="4" s="1"/>
  <c r="C303" i="3"/>
  <c r="D303" i="3"/>
  <c r="A304" i="3"/>
  <c r="A308" i="4" s="1"/>
  <c r="B340" i="5" s="1"/>
  <c r="B304" i="3"/>
  <c r="B308" i="4" s="1"/>
  <c r="C304" i="3"/>
  <c r="D304" i="3"/>
  <c r="A305" i="3"/>
  <c r="A309" i="4" s="1"/>
  <c r="B341" i="5" s="1"/>
  <c r="B305" i="3"/>
  <c r="B309" i="4" s="1"/>
  <c r="C305" i="3"/>
  <c r="D305" i="3"/>
  <c r="A306" i="3"/>
  <c r="A310" i="4" s="1"/>
  <c r="B342" i="5" s="1"/>
  <c r="B306" i="3"/>
  <c r="B310" i="4" s="1"/>
  <c r="C306" i="3"/>
  <c r="D306" i="3"/>
  <c r="A307" i="3"/>
  <c r="A311" i="4" s="1"/>
  <c r="B343" i="5" s="1"/>
  <c r="B307" i="3"/>
  <c r="B311" i="4" s="1"/>
  <c r="C307" i="3"/>
  <c r="D307" i="3"/>
  <c r="A308" i="3"/>
  <c r="A312" i="4" s="1"/>
  <c r="B344" i="5" s="1"/>
  <c r="B308" i="3"/>
  <c r="B312" i="4" s="1"/>
  <c r="C308" i="3"/>
  <c r="D308" i="3"/>
  <c r="A309" i="3"/>
  <c r="A313" i="4" s="1"/>
  <c r="B345" i="5" s="1"/>
  <c r="B309" i="3"/>
  <c r="B313" i="4" s="1"/>
  <c r="C309" i="3"/>
  <c r="D309" i="3"/>
  <c r="A310" i="3"/>
  <c r="A314" i="4" s="1"/>
  <c r="B346" i="5" s="1"/>
  <c r="B310" i="3"/>
  <c r="B314" i="4" s="1"/>
  <c r="C310" i="3"/>
  <c r="D310" i="3"/>
  <c r="A311" i="3"/>
  <c r="A315" i="4" s="1"/>
  <c r="B347" i="5" s="1"/>
  <c r="B311" i="3"/>
  <c r="B315" i="4" s="1"/>
  <c r="C311" i="3"/>
  <c r="D311" i="3"/>
  <c r="A312" i="3"/>
  <c r="A316" i="4" s="1"/>
  <c r="B348" i="5" s="1"/>
  <c r="B312" i="3"/>
  <c r="B316" i="4" s="1"/>
  <c r="C312" i="3"/>
  <c r="D312" i="3"/>
  <c r="A313" i="3"/>
  <c r="A317" i="4" s="1"/>
  <c r="B349" i="5" s="1"/>
  <c r="B313" i="3"/>
  <c r="B317" i="4" s="1"/>
  <c r="C313" i="3"/>
  <c r="D313" i="3"/>
  <c r="A314" i="3"/>
  <c r="A318" i="4" s="1"/>
  <c r="B350" i="5" s="1"/>
  <c r="B314" i="3"/>
  <c r="B318" i="4" s="1"/>
  <c r="C314" i="3"/>
  <c r="D314" i="3"/>
  <c r="A315" i="3"/>
  <c r="A319" i="4" s="1"/>
  <c r="B351" i="5" s="1"/>
  <c r="B315" i="3"/>
  <c r="B319" i="4" s="1"/>
  <c r="C315" i="3"/>
  <c r="D315" i="3"/>
  <c r="A316" i="3"/>
  <c r="A320" i="4" s="1"/>
  <c r="B352" i="5" s="1"/>
  <c r="B316" i="3"/>
  <c r="B320" i="4" s="1"/>
  <c r="C316" i="3"/>
  <c r="D316" i="3"/>
  <c r="A317" i="3"/>
  <c r="A321" i="4" s="1"/>
  <c r="B353" i="5" s="1"/>
  <c r="B317" i="3"/>
  <c r="B321" i="4" s="1"/>
  <c r="C317" i="3"/>
  <c r="D317" i="3"/>
  <c r="A318" i="3"/>
  <c r="A322" i="4" s="1"/>
  <c r="B354" i="5" s="1"/>
  <c r="B318" i="3"/>
  <c r="B322" i="4" s="1"/>
  <c r="C318" i="3"/>
  <c r="D318" i="3"/>
  <c r="A319" i="3"/>
  <c r="A323" i="4" s="1"/>
  <c r="B355" i="5" s="1"/>
  <c r="B319" i="3"/>
  <c r="B323" i="4" s="1"/>
  <c r="C319" i="3"/>
  <c r="D319" i="3"/>
  <c r="A320" i="3"/>
  <c r="A324" i="4" s="1"/>
  <c r="B356" i="5" s="1"/>
  <c r="B320" i="3"/>
  <c r="B324" i="4" s="1"/>
  <c r="C320" i="3"/>
  <c r="D320" i="3"/>
  <c r="A321" i="3"/>
  <c r="A325" i="4" s="1"/>
  <c r="B357" i="5" s="1"/>
  <c r="B321" i="3"/>
  <c r="B325" i="4" s="1"/>
  <c r="C321" i="3"/>
  <c r="D321" i="3"/>
  <c r="A322" i="3"/>
  <c r="A326" i="4" s="1"/>
  <c r="B358" i="5" s="1"/>
  <c r="B322" i="3"/>
  <c r="B326" i="4" s="1"/>
  <c r="C322" i="3"/>
  <c r="D322" i="3"/>
  <c r="A323" i="3"/>
  <c r="A327" i="4" s="1"/>
  <c r="B359" i="5" s="1"/>
  <c r="B323" i="3"/>
  <c r="B327" i="4" s="1"/>
  <c r="C323" i="3"/>
  <c r="D323" i="3"/>
  <c r="A324" i="3"/>
  <c r="A328" i="4" s="1"/>
  <c r="B360" i="5" s="1"/>
  <c r="B324" i="3"/>
  <c r="B328" i="4" s="1"/>
  <c r="C324" i="3"/>
  <c r="D324" i="3"/>
  <c r="A325" i="3"/>
  <c r="A329" i="4" s="1"/>
  <c r="B361" i="5" s="1"/>
  <c r="B325" i="3"/>
  <c r="B329" i="4" s="1"/>
  <c r="C325" i="3"/>
  <c r="D325" i="3"/>
  <c r="A326" i="3"/>
  <c r="A330" i="4" s="1"/>
  <c r="B362" i="5" s="1"/>
  <c r="B326" i="3"/>
  <c r="B330" i="4" s="1"/>
  <c r="C326" i="3"/>
  <c r="D326" i="3"/>
  <c r="A327" i="3"/>
  <c r="A331" i="4" s="1"/>
  <c r="B363" i="5" s="1"/>
  <c r="B327" i="3"/>
  <c r="B331" i="4" s="1"/>
  <c r="C327" i="3"/>
  <c r="D327" i="3"/>
  <c r="A328" i="3"/>
  <c r="A332" i="4" s="1"/>
  <c r="B364" i="5" s="1"/>
  <c r="B328" i="3"/>
  <c r="B332" i="4" s="1"/>
  <c r="C328" i="3"/>
  <c r="D328" i="3"/>
  <c r="A329" i="3"/>
  <c r="A333" i="4" s="1"/>
  <c r="B365" i="5" s="1"/>
  <c r="B329" i="3"/>
  <c r="B333" i="4" s="1"/>
  <c r="C329" i="3"/>
  <c r="D329" i="3"/>
  <c r="A330" i="3"/>
  <c r="A334" i="4" s="1"/>
  <c r="B366" i="5" s="1"/>
  <c r="B330" i="3"/>
  <c r="B334" i="4" s="1"/>
  <c r="C330" i="3"/>
  <c r="D330" i="3"/>
  <c r="A331" i="3"/>
  <c r="A335" i="4" s="1"/>
  <c r="B367" i="5" s="1"/>
  <c r="B331" i="3"/>
  <c r="B335" i="4" s="1"/>
  <c r="C331" i="3"/>
  <c r="D331" i="3"/>
  <c r="A332" i="3"/>
  <c r="A336" i="4" s="1"/>
  <c r="B368" i="5" s="1"/>
  <c r="B332" i="3"/>
  <c r="B336" i="4" s="1"/>
  <c r="C332" i="3"/>
  <c r="D332" i="3"/>
  <c r="A333" i="3"/>
  <c r="A337" i="4" s="1"/>
  <c r="B369" i="5" s="1"/>
  <c r="B333" i="3"/>
  <c r="B337" i="4" s="1"/>
  <c r="C333" i="3"/>
  <c r="D333" i="3"/>
  <c r="A334" i="3"/>
  <c r="A338" i="4" s="1"/>
  <c r="B370" i="5" s="1"/>
  <c r="B334" i="3"/>
  <c r="B338" i="4" s="1"/>
  <c r="C334" i="3"/>
  <c r="D334" i="3"/>
  <c r="A335" i="3"/>
  <c r="A339" i="4" s="1"/>
  <c r="B371" i="5" s="1"/>
  <c r="B335" i="3"/>
  <c r="B339" i="4" s="1"/>
  <c r="C335" i="3"/>
  <c r="D335" i="3"/>
  <c r="A336" i="3"/>
  <c r="A340" i="4" s="1"/>
  <c r="B372" i="5" s="1"/>
  <c r="B336" i="3"/>
  <c r="B340" i="4" s="1"/>
  <c r="C336" i="3"/>
  <c r="D336" i="3"/>
  <c r="A337" i="3"/>
  <c r="A341" i="4" s="1"/>
  <c r="B373" i="5" s="1"/>
  <c r="B337" i="3"/>
  <c r="B341" i="4" s="1"/>
  <c r="C337" i="3"/>
  <c r="D337" i="3"/>
  <c r="A338" i="3"/>
  <c r="A342" i="4" s="1"/>
  <c r="B374" i="5" s="1"/>
  <c r="B338" i="3"/>
  <c r="B342" i="4" s="1"/>
  <c r="C338" i="3"/>
  <c r="D338" i="3"/>
  <c r="A339" i="3"/>
  <c r="A343" i="4" s="1"/>
  <c r="B375" i="5" s="1"/>
  <c r="B339" i="3"/>
  <c r="B343" i="4" s="1"/>
  <c r="C339" i="3"/>
  <c r="D339" i="3"/>
  <c r="A340" i="3"/>
  <c r="A344" i="4" s="1"/>
  <c r="B376" i="5" s="1"/>
  <c r="B340" i="3"/>
  <c r="B344" i="4" s="1"/>
  <c r="C340" i="3"/>
  <c r="D340" i="3"/>
  <c r="A341" i="3"/>
  <c r="A345" i="4" s="1"/>
  <c r="B377" i="5" s="1"/>
  <c r="B341" i="3"/>
  <c r="B345" i="4" s="1"/>
  <c r="C341" i="3"/>
  <c r="D341" i="3"/>
  <c r="A342" i="3"/>
  <c r="A346" i="4" s="1"/>
  <c r="B378" i="5" s="1"/>
  <c r="B342" i="3"/>
  <c r="B346" i="4" s="1"/>
  <c r="C342" i="3"/>
  <c r="D342" i="3"/>
  <c r="A343" i="3"/>
  <c r="A347" i="4" s="1"/>
  <c r="B379" i="5" s="1"/>
  <c r="B343" i="3"/>
  <c r="B347" i="4" s="1"/>
  <c r="C343" i="3"/>
  <c r="D343" i="3"/>
  <c r="A344" i="3"/>
  <c r="A348" i="4" s="1"/>
  <c r="B380" i="5" s="1"/>
  <c r="B344" i="3"/>
  <c r="B348" i="4" s="1"/>
  <c r="C344" i="3"/>
  <c r="D344" i="3"/>
  <c r="A345" i="3"/>
  <c r="A349" i="4" s="1"/>
  <c r="B381" i="5" s="1"/>
  <c r="B345" i="3"/>
  <c r="B349" i="4" s="1"/>
  <c r="C345" i="3"/>
  <c r="D345" i="3"/>
  <c r="A346" i="3"/>
  <c r="A350" i="4" s="1"/>
  <c r="B382" i="5" s="1"/>
  <c r="B346" i="3"/>
  <c r="B350" i="4" s="1"/>
  <c r="C346" i="3"/>
  <c r="D346" i="3"/>
  <c r="A347" i="3"/>
  <c r="A351" i="4" s="1"/>
  <c r="B383" i="5" s="1"/>
  <c r="B347" i="3"/>
  <c r="B351" i="4" s="1"/>
  <c r="C347" i="3"/>
  <c r="D347" i="3"/>
  <c r="A348" i="3"/>
  <c r="A352" i="4" s="1"/>
  <c r="B384" i="5" s="1"/>
  <c r="B348" i="3"/>
  <c r="B352" i="4" s="1"/>
  <c r="C348" i="3"/>
  <c r="D348" i="3"/>
  <c r="A349" i="3"/>
  <c r="A353" i="4" s="1"/>
  <c r="B385" i="5" s="1"/>
  <c r="B349" i="3"/>
  <c r="B353" i="4" s="1"/>
  <c r="C349" i="3"/>
  <c r="D349" i="3"/>
  <c r="A350" i="3"/>
  <c r="A354" i="4" s="1"/>
  <c r="B386" i="5" s="1"/>
  <c r="B350" i="3"/>
  <c r="B354" i="4" s="1"/>
  <c r="C350" i="3"/>
  <c r="D350" i="3"/>
  <c r="A351" i="3"/>
  <c r="A355" i="4" s="1"/>
  <c r="B387" i="5" s="1"/>
  <c r="B351" i="3"/>
  <c r="B355" i="4" s="1"/>
  <c r="C351" i="3"/>
  <c r="D351" i="3"/>
  <c r="A352" i="3"/>
  <c r="A356" i="4" s="1"/>
  <c r="B388" i="5" s="1"/>
  <c r="B352" i="3"/>
  <c r="B356" i="4" s="1"/>
  <c r="C352" i="3"/>
  <c r="D352" i="3"/>
  <c r="A353" i="3"/>
  <c r="A357" i="4" s="1"/>
  <c r="B389" i="5" s="1"/>
  <c r="B353" i="3"/>
  <c r="B357" i="4" s="1"/>
  <c r="C353" i="3"/>
  <c r="D353" i="3"/>
  <c r="A354" i="3"/>
  <c r="A358" i="4" s="1"/>
  <c r="B390" i="5" s="1"/>
  <c r="B354" i="3"/>
  <c r="B358" i="4" s="1"/>
  <c r="C354" i="3"/>
  <c r="D354" i="3"/>
  <c r="A355" i="3"/>
  <c r="A359" i="4" s="1"/>
  <c r="B391" i="5" s="1"/>
  <c r="B355" i="3"/>
  <c r="B359" i="4" s="1"/>
  <c r="C355" i="3"/>
  <c r="D355" i="3"/>
  <c r="A356" i="3"/>
  <c r="A360" i="4" s="1"/>
  <c r="B392" i="5" s="1"/>
  <c r="B356" i="3"/>
  <c r="B360" i="4" s="1"/>
  <c r="C356" i="3"/>
  <c r="D356" i="3"/>
  <c r="A357" i="3"/>
  <c r="A361" i="4" s="1"/>
  <c r="B393" i="5" s="1"/>
  <c r="B357" i="3"/>
  <c r="B361" i="4" s="1"/>
  <c r="C357" i="3"/>
  <c r="D357" i="3"/>
  <c r="A358" i="3"/>
  <c r="A362" i="4" s="1"/>
  <c r="B394" i="5" s="1"/>
  <c r="B358" i="3"/>
  <c r="B362" i="4" s="1"/>
  <c r="C358" i="3"/>
  <c r="D358" i="3"/>
  <c r="A359" i="3"/>
  <c r="A363" i="4" s="1"/>
  <c r="B395" i="5" s="1"/>
  <c r="B359" i="3"/>
  <c r="B363" i="4" s="1"/>
  <c r="C359" i="3"/>
  <c r="D359" i="3"/>
  <c r="A360" i="3"/>
  <c r="A364" i="4" s="1"/>
  <c r="B396" i="5" s="1"/>
  <c r="B360" i="3"/>
  <c r="B364" i="4" s="1"/>
  <c r="C360" i="3"/>
  <c r="D360" i="3"/>
  <c r="A361" i="3"/>
  <c r="A365" i="4" s="1"/>
  <c r="B397" i="5" s="1"/>
  <c r="B361" i="3"/>
  <c r="B365" i="4" s="1"/>
  <c r="C361" i="3"/>
  <c r="D361" i="3"/>
  <c r="A362" i="3"/>
  <c r="A366" i="4" s="1"/>
  <c r="B398" i="5" s="1"/>
  <c r="B362" i="3"/>
  <c r="B366" i="4" s="1"/>
  <c r="C362" i="3"/>
  <c r="D362" i="3"/>
  <c r="A363" i="3"/>
  <c r="A367" i="4" s="1"/>
  <c r="B399" i="5" s="1"/>
  <c r="B363" i="3"/>
  <c r="B367" i="4" s="1"/>
  <c r="C363" i="3"/>
  <c r="D363" i="3"/>
  <c r="A364" i="3"/>
  <c r="A368" i="4" s="1"/>
  <c r="B400" i="5" s="1"/>
  <c r="A365" i="3"/>
  <c r="A369" i="4" s="1"/>
  <c r="B401" i="5" s="1"/>
  <c r="B365" i="3"/>
  <c r="B369" i="4" s="1"/>
  <c r="C365" i="3"/>
  <c r="D365" i="3"/>
  <c r="A366" i="3"/>
  <c r="A370" i="4" s="1"/>
  <c r="B402" i="5" s="1"/>
  <c r="B366" i="3"/>
  <c r="B370" i="4" s="1"/>
  <c r="C366" i="3"/>
  <c r="D366" i="3"/>
  <c r="A367" i="3"/>
  <c r="A371" i="4" s="1"/>
  <c r="B403" i="5" s="1"/>
  <c r="B367" i="3"/>
  <c r="B371" i="4" s="1"/>
  <c r="C367" i="3"/>
  <c r="D367" i="3"/>
  <c r="A368" i="3"/>
  <c r="A372" i="4" s="1"/>
  <c r="B404" i="5" s="1"/>
  <c r="B368" i="3"/>
  <c r="B372" i="4" s="1"/>
  <c r="C368" i="3"/>
  <c r="D368" i="3"/>
  <c r="A369" i="3"/>
  <c r="A373" i="4" s="1"/>
  <c r="B405" i="5" s="1"/>
  <c r="B369" i="3"/>
  <c r="B373" i="4" s="1"/>
  <c r="C369" i="3"/>
  <c r="D369" i="3"/>
  <c r="A370" i="3"/>
  <c r="A374" i="4" s="1"/>
  <c r="B406" i="5" s="1"/>
  <c r="B370" i="3"/>
  <c r="B374" i="4" s="1"/>
  <c r="C370" i="3"/>
  <c r="D370" i="3"/>
  <c r="A371" i="3"/>
  <c r="A375" i="4" s="1"/>
  <c r="B407" i="5" s="1"/>
  <c r="B371" i="3"/>
  <c r="B375" i="4" s="1"/>
  <c r="C371" i="3"/>
  <c r="D371" i="3"/>
  <c r="A372" i="3"/>
  <c r="A376" i="4" s="1"/>
  <c r="B408" i="5" s="1"/>
  <c r="B372" i="3"/>
  <c r="B376" i="4" s="1"/>
  <c r="C372" i="3"/>
  <c r="D372" i="3"/>
  <c r="A373" i="3"/>
  <c r="A377" i="4" s="1"/>
  <c r="B409" i="5" s="1"/>
  <c r="B373" i="3"/>
  <c r="B377" i="4" s="1"/>
  <c r="C373" i="3"/>
  <c r="D373" i="3"/>
  <c r="A374" i="3"/>
  <c r="A378" i="4" s="1"/>
  <c r="B410" i="5" s="1"/>
  <c r="A375" i="3"/>
  <c r="A379" i="4" s="1"/>
  <c r="B411" i="5" s="1"/>
  <c r="B375" i="3"/>
  <c r="B379" i="4" s="1"/>
  <c r="C375" i="3"/>
  <c r="D375" i="3"/>
  <c r="A376" i="3"/>
  <c r="A380" i="4" s="1"/>
  <c r="B412" i="5" s="1"/>
  <c r="B376" i="3"/>
  <c r="B380" i="4" s="1"/>
  <c r="C376" i="3"/>
  <c r="D376" i="3"/>
  <c r="A377" i="3"/>
  <c r="A381" i="4" s="1"/>
  <c r="B413" i="5" s="1"/>
  <c r="B377" i="3"/>
  <c r="B381" i="4" s="1"/>
  <c r="C377" i="3"/>
  <c r="D377" i="3"/>
  <c r="A378" i="3"/>
  <c r="A382" i="4" s="1"/>
  <c r="B414" i="5" s="1"/>
  <c r="B378" i="3"/>
  <c r="B382" i="4" s="1"/>
  <c r="C378" i="3"/>
  <c r="D378" i="3"/>
  <c r="A379" i="3"/>
  <c r="A383" i="4" s="1"/>
  <c r="B415" i="5" s="1"/>
  <c r="B379" i="3"/>
  <c r="B383" i="4" s="1"/>
  <c r="C379" i="3"/>
  <c r="D379" i="3"/>
  <c r="A380" i="3"/>
  <c r="A384" i="4" s="1"/>
  <c r="B416" i="5" s="1"/>
  <c r="A381" i="3"/>
  <c r="A385" i="4" s="1"/>
  <c r="B417" i="5" s="1"/>
  <c r="B381" i="3"/>
  <c r="B385" i="4" s="1"/>
  <c r="C381" i="3"/>
  <c r="D381" i="3"/>
  <c r="A382" i="3"/>
  <c r="A386" i="4" s="1"/>
  <c r="B418" i="5" s="1"/>
  <c r="B382" i="3"/>
  <c r="B386" i="4" s="1"/>
  <c r="C382" i="3"/>
  <c r="D382" i="3"/>
  <c r="A383" i="3"/>
  <c r="A387" i="4" s="1"/>
  <c r="B419" i="5" s="1"/>
  <c r="B383" i="3"/>
  <c r="B387" i="4" s="1"/>
  <c r="C383" i="3"/>
  <c r="D383" i="3"/>
  <c r="A384" i="3"/>
  <c r="A388" i="4" s="1"/>
  <c r="B420" i="5" s="1"/>
  <c r="B384" i="3"/>
  <c r="B388" i="4" s="1"/>
  <c r="C384" i="3"/>
  <c r="D384" i="3"/>
  <c r="A385" i="3"/>
  <c r="A389" i="4" s="1"/>
  <c r="B421" i="5" s="1"/>
  <c r="B385" i="3"/>
  <c r="B389" i="4" s="1"/>
  <c r="C385" i="3"/>
  <c r="D385" i="3"/>
  <c r="A386" i="3"/>
  <c r="A390" i="4" s="1"/>
  <c r="B422" i="5" s="1"/>
  <c r="B386" i="3"/>
  <c r="B390" i="4" s="1"/>
  <c r="C386" i="3"/>
  <c r="D386" i="3"/>
  <c r="A387" i="3"/>
  <c r="A391" i="4" s="1"/>
  <c r="B423" i="5" s="1"/>
  <c r="B387" i="3"/>
  <c r="B391" i="4" s="1"/>
  <c r="C387" i="3"/>
  <c r="D387" i="3"/>
  <c r="A388" i="3"/>
  <c r="A392" i="4" s="1"/>
  <c r="B424" i="5" s="1"/>
  <c r="B388" i="3"/>
  <c r="B392" i="4" s="1"/>
  <c r="C388" i="3"/>
  <c r="D388" i="3"/>
  <c r="A389" i="3"/>
  <c r="A393" i="4" s="1"/>
  <c r="B425" i="5" s="1"/>
  <c r="B389" i="3"/>
  <c r="B393" i="4" s="1"/>
  <c r="C389" i="3"/>
  <c r="D389" i="3"/>
  <c r="A390" i="3"/>
  <c r="A394" i="4" s="1"/>
  <c r="B426" i="5" s="1"/>
  <c r="B390" i="3"/>
  <c r="B394" i="4" s="1"/>
  <c r="C390" i="3"/>
  <c r="D390" i="3"/>
  <c r="A391" i="3"/>
  <c r="A395" i="4" s="1"/>
  <c r="B427" i="5" s="1"/>
  <c r="B391" i="3"/>
  <c r="B395" i="4" s="1"/>
  <c r="C391" i="3"/>
  <c r="D391" i="3"/>
  <c r="A392" i="3"/>
  <c r="A396" i="4" s="1"/>
  <c r="B428" i="5" s="1"/>
  <c r="B392" i="3"/>
  <c r="B396" i="4" s="1"/>
  <c r="C392" i="3"/>
  <c r="D392" i="3"/>
  <c r="A393" i="3"/>
  <c r="A397" i="4" s="1"/>
  <c r="B429" i="5" s="1"/>
  <c r="B393" i="3"/>
  <c r="B397" i="4" s="1"/>
  <c r="C393" i="3"/>
  <c r="D393" i="3"/>
  <c r="A394" i="3"/>
  <c r="A398" i="4" s="1"/>
  <c r="B430" i="5" s="1"/>
  <c r="B394" i="3"/>
  <c r="B398" i="4" s="1"/>
  <c r="C394" i="3"/>
  <c r="D394" i="3"/>
  <c r="A395" i="3"/>
  <c r="A399" i="4" s="1"/>
  <c r="B431" i="5" s="1"/>
  <c r="B395" i="3"/>
  <c r="B399" i="4" s="1"/>
  <c r="C395" i="3"/>
  <c r="D395" i="3"/>
  <c r="A396" i="3"/>
  <c r="A400" i="4" s="1"/>
  <c r="B432" i="5" s="1"/>
  <c r="B396" i="3"/>
  <c r="B400" i="4" s="1"/>
  <c r="C396" i="3"/>
  <c r="D396" i="3"/>
  <c r="A397" i="3"/>
  <c r="A401" i="4" s="1"/>
  <c r="B433" i="5" s="1"/>
  <c r="B397" i="3"/>
  <c r="B401" i="4" s="1"/>
  <c r="C397" i="3"/>
  <c r="D397" i="3"/>
  <c r="A398" i="3"/>
  <c r="A402" i="4" s="1"/>
  <c r="B434" i="5" s="1"/>
  <c r="B398" i="3"/>
  <c r="B402" i="4" s="1"/>
  <c r="C398" i="3"/>
  <c r="D398" i="3"/>
  <c r="A399" i="3"/>
  <c r="A403" i="4" s="1"/>
  <c r="B435" i="5" s="1"/>
  <c r="B399" i="3"/>
  <c r="B403" i="4" s="1"/>
  <c r="C399" i="3"/>
  <c r="D399" i="3"/>
  <c r="A400" i="3"/>
  <c r="A404" i="4" s="1"/>
  <c r="B436" i="5" s="1"/>
  <c r="B400" i="3"/>
  <c r="B404" i="4" s="1"/>
  <c r="C400" i="3"/>
  <c r="D400" i="3"/>
  <c r="A401" i="3"/>
  <c r="A405" i="4" s="1"/>
  <c r="B437" i="5" s="1"/>
  <c r="B401" i="3"/>
  <c r="B405" i="4" s="1"/>
  <c r="C401" i="3"/>
  <c r="D401" i="3"/>
  <c r="A402" i="3"/>
  <c r="A406" i="4" s="1"/>
  <c r="B438" i="5" s="1"/>
  <c r="B402" i="3"/>
  <c r="B406" i="4" s="1"/>
  <c r="C402" i="3"/>
  <c r="D402" i="3"/>
  <c r="A403" i="3"/>
  <c r="A407" i="4" s="1"/>
  <c r="B439" i="5" s="1"/>
  <c r="B403" i="3"/>
  <c r="B407" i="4" s="1"/>
  <c r="C403" i="3"/>
  <c r="D403" i="3"/>
  <c r="A404" i="3"/>
  <c r="A408" i="4" s="1"/>
  <c r="B440" i="5" s="1"/>
  <c r="B404" i="3"/>
  <c r="B408" i="4" s="1"/>
  <c r="C404" i="3"/>
  <c r="D404" i="3"/>
  <c r="A405" i="3"/>
  <c r="A409" i="4" s="1"/>
  <c r="B441" i="5" s="1"/>
  <c r="B405" i="3"/>
  <c r="B409" i="4" s="1"/>
  <c r="C405" i="3"/>
  <c r="D405" i="3"/>
  <c r="A406" i="3"/>
  <c r="A410" i="4" s="1"/>
  <c r="B442" i="5" s="1"/>
  <c r="B406" i="3"/>
  <c r="B410" i="4" s="1"/>
  <c r="C406" i="3"/>
  <c r="D406" i="3"/>
  <c r="A407" i="3"/>
  <c r="A411" i="4" s="1"/>
  <c r="B443" i="5" s="1"/>
  <c r="B407" i="3"/>
  <c r="B411" i="4" s="1"/>
  <c r="C407" i="3"/>
  <c r="V407" i="3" s="1"/>
  <c r="X407" i="3" s="1"/>
  <c r="D407" i="3"/>
  <c r="A408" i="3"/>
  <c r="A412" i="4" s="1"/>
  <c r="B444" i="5" s="1"/>
  <c r="B408" i="3"/>
  <c r="B412" i="4" s="1"/>
  <c r="C408" i="3"/>
  <c r="V408" i="3" s="1"/>
  <c r="X408" i="3" s="1"/>
  <c r="D408" i="3"/>
  <c r="A409" i="3"/>
  <c r="A413" i="4" s="1"/>
  <c r="B445" i="5" s="1"/>
  <c r="B409" i="3"/>
  <c r="B413" i="4" s="1"/>
  <c r="C409" i="3"/>
  <c r="D409" i="3"/>
  <c r="A410" i="3"/>
  <c r="A414" i="4" s="1"/>
  <c r="B446" i="5" s="1"/>
  <c r="B410" i="3"/>
  <c r="B414" i="4" s="1"/>
  <c r="C410" i="3"/>
  <c r="D410" i="3"/>
  <c r="A411" i="3"/>
  <c r="A415" i="4" s="1"/>
  <c r="B447" i="5" s="1"/>
  <c r="B411" i="3"/>
  <c r="B415" i="4" s="1"/>
  <c r="C411" i="3"/>
  <c r="D411" i="3"/>
  <c r="A412" i="3"/>
  <c r="A416" i="4" s="1"/>
  <c r="B448" i="5" s="1"/>
  <c r="B412" i="3"/>
  <c r="B416" i="4" s="1"/>
  <c r="C412" i="3"/>
  <c r="D412" i="3"/>
  <c r="A413" i="3"/>
  <c r="A417" i="4" s="1"/>
  <c r="B449" i="5" s="1"/>
  <c r="B413" i="3"/>
  <c r="B417" i="4" s="1"/>
  <c r="C413" i="3"/>
  <c r="D413" i="3"/>
  <c r="A414" i="3"/>
  <c r="A418" i="4" s="1"/>
  <c r="B450" i="5" s="1"/>
  <c r="B414" i="3"/>
  <c r="B418" i="4" s="1"/>
  <c r="C414" i="3"/>
  <c r="D414" i="3"/>
  <c r="A415" i="3"/>
  <c r="A419" i="4" s="1"/>
  <c r="B451" i="5" s="1"/>
  <c r="B415" i="3"/>
  <c r="B419" i="4" s="1"/>
  <c r="C415" i="3"/>
  <c r="D415" i="3"/>
  <c r="A416" i="3"/>
  <c r="A420" i="4" s="1"/>
  <c r="B452" i="5" s="1"/>
  <c r="B416" i="3"/>
  <c r="B420" i="4" s="1"/>
  <c r="C416" i="3"/>
  <c r="D416" i="3"/>
  <c r="A417" i="3"/>
  <c r="A421" i="4" s="1"/>
  <c r="B453" i="5" s="1"/>
  <c r="B417" i="3"/>
  <c r="B421" i="4" s="1"/>
  <c r="C417" i="3"/>
  <c r="D417" i="3"/>
  <c r="A418" i="3"/>
  <c r="A422" i="4" s="1"/>
  <c r="B454" i="5" s="1"/>
  <c r="B418" i="3"/>
  <c r="B422" i="4" s="1"/>
  <c r="C418" i="3"/>
  <c r="D418" i="3"/>
  <c r="A419" i="3"/>
  <c r="A423" i="4" s="1"/>
  <c r="B455" i="5" s="1"/>
  <c r="B419" i="3"/>
  <c r="B423" i="4" s="1"/>
  <c r="C419" i="3"/>
  <c r="D419" i="3"/>
  <c r="A420" i="3"/>
  <c r="A424" i="4" s="1"/>
  <c r="B456" i="5" s="1"/>
  <c r="B420" i="3"/>
  <c r="B424" i="4" s="1"/>
  <c r="C420" i="3"/>
  <c r="D420" i="3"/>
  <c r="A421" i="3"/>
  <c r="A425" i="4" s="1"/>
  <c r="B457" i="5" s="1"/>
  <c r="A466" i="3"/>
  <c r="A470" i="4" s="1"/>
  <c r="B466" i="3"/>
  <c r="B470" i="4" s="1"/>
  <c r="C466" i="3"/>
  <c r="D466" i="3"/>
  <c r="A467" i="3"/>
  <c r="A471" i="4" s="1"/>
  <c r="B467" i="3"/>
  <c r="B471" i="4" s="1"/>
  <c r="C467" i="3"/>
  <c r="D467" i="3"/>
  <c r="A468" i="3"/>
  <c r="A472" i="4" s="1"/>
  <c r="B468" i="3"/>
  <c r="B472" i="4" s="1"/>
  <c r="C468" i="3"/>
  <c r="D468" i="3"/>
  <c r="A469" i="3"/>
  <c r="A473" i="4" s="1"/>
  <c r="B469" i="3"/>
  <c r="B473" i="4" s="1"/>
  <c r="C469" i="3"/>
  <c r="D469" i="3"/>
  <c r="A471" i="3"/>
  <c r="A475" i="4" s="1"/>
  <c r="B471" i="3"/>
  <c r="B475" i="4" s="1"/>
  <c r="C471" i="3"/>
  <c r="D471" i="3"/>
  <c r="A472" i="3"/>
  <c r="A476" i="4" s="1"/>
  <c r="B472" i="3"/>
  <c r="B476" i="4" s="1"/>
  <c r="C472" i="3"/>
  <c r="D472" i="3"/>
  <c r="A474" i="3"/>
  <c r="A478" i="4" s="1"/>
  <c r="B474" i="3"/>
  <c r="B478" i="4" s="1"/>
  <c r="C474" i="3"/>
  <c r="D474" i="3"/>
  <c r="A475" i="3"/>
  <c r="A479" i="4" s="1"/>
  <c r="B475" i="3"/>
  <c r="B479" i="4" s="1"/>
  <c r="C475" i="3"/>
  <c r="D475" i="3"/>
  <c r="A477" i="3"/>
  <c r="A481" i="4" s="1"/>
  <c r="B477" i="3"/>
  <c r="B481" i="4" s="1"/>
  <c r="C477" i="3"/>
  <c r="D477" i="3"/>
  <c r="A478" i="3"/>
  <c r="A482" i="4" s="1"/>
  <c r="B478" i="3"/>
  <c r="B482" i="4" s="1"/>
  <c r="C478" i="3"/>
  <c r="D478" i="3"/>
  <c r="A480" i="3"/>
  <c r="A484" i="4" s="1"/>
  <c r="B480" i="3"/>
  <c r="B484" i="4" s="1"/>
  <c r="C480" i="3"/>
  <c r="D480" i="3"/>
  <c r="A481" i="3"/>
  <c r="A485" i="4" s="1"/>
  <c r="B481" i="3"/>
  <c r="B485" i="4" s="1"/>
  <c r="C481" i="3"/>
  <c r="D481" i="3"/>
  <c r="A482" i="3"/>
  <c r="A486" i="4" s="1"/>
  <c r="B482" i="3"/>
  <c r="B486" i="4" s="1"/>
  <c r="C482" i="3"/>
  <c r="D482" i="3"/>
  <c r="A483" i="3"/>
  <c r="A487" i="4" s="1"/>
  <c r="B483" i="3"/>
  <c r="B487" i="4" s="1"/>
  <c r="C483" i="3"/>
  <c r="D483" i="3"/>
  <c r="A484" i="3"/>
  <c r="A488" i="4" s="1"/>
  <c r="A485" i="3"/>
  <c r="A489" i="4" s="1"/>
  <c r="B485" i="3"/>
  <c r="B489" i="4" s="1"/>
  <c r="C485" i="3"/>
  <c r="D485" i="3"/>
  <c r="A486" i="3"/>
  <c r="A490" i="4" s="1"/>
  <c r="B486" i="3"/>
  <c r="B490" i="4" s="1"/>
  <c r="C486" i="3"/>
  <c r="D486" i="3"/>
  <c r="A487" i="3"/>
  <c r="A491" i="4" s="1"/>
  <c r="B487" i="3"/>
  <c r="B491" i="4" s="1"/>
  <c r="C487" i="3"/>
  <c r="D487" i="3"/>
  <c r="A488" i="3"/>
  <c r="A492" i="4" s="1"/>
  <c r="B488" i="3"/>
  <c r="B492" i="4" s="1"/>
  <c r="C488" i="3"/>
  <c r="D488" i="3"/>
  <c r="B251" i="3"/>
  <c r="B255" i="4" s="1"/>
  <c r="C251" i="3"/>
  <c r="D251" i="3"/>
  <c r="A251" i="3"/>
  <c r="A255" i="4" s="1"/>
  <c r="B287" i="5" s="1"/>
  <c r="A196" i="3"/>
  <c r="A200" i="4" s="1"/>
  <c r="B232" i="5" s="1"/>
  <c r="B196" i="3"/>
  <c r="B200" i="4" s="1"/>
  <c r="C196" i="3"/>
  <c r="D196" i="3"/>
  <c r="A197" i="3"/>
  <c r="A201" i="4" s="1"/>
  <c r="B233" i="5" s="1"/>
  <c r="B197" i="3"/>
  <c r="B201" i="4" s="1"/>
  <c r="C197" i="3"/>
  <c r="D197" i="3"/>
  <c r="A198" i="3"/>
  <c r="A202" i="4" s="1"/>
  <c r="B234" i="5" s="1"/>
  <c r="B198" i="3"/>
  <c r="B202" i="4" s="1"/>
  <c r="C198" i="3"/>
  <c r="D198" i="3"/>
  <c r="A199" i="3"/>
  <c r="A203" i="4" s="1"/>
  <c r="B235" i="5" s="1"/>
  <c r="B199" i="3"/>
  <c r="B203" i="4" s="1"/>
  <c r="C199" i="3"/>
  <c r="D199" i="3"/>
  <c r="A201" i="3"/>
  <c r="A205" i="4" s="1"/>
  <c r="B237" i="5" s="1"/>
  <c r="B201" i="3"/>
  <c r="B205" i="4" s="1"/>
  <c r="C201" i="3"/>
  <c r="D201" i="3"/>
  <c r="A202" i="3"/>
  <c r="A206" i="4" s="1"/>
  <c r="B238" i="5" s="1"/>
  <c r="B202" i="3"/>
  <c r="B206" i="4" s="1"/>
  <c r="C202" i="3"/>
  <c r="D202" i="3"/>
  <c r="A203" i="3"/>
  <c r="A207" i="4" s="1"/>
  <c r="B239" i="5" s="1"/>
  <c r="B203" i="3"/>
  <c r="B207" i="4" s="1"/>
  <c r="C203" i="3"/>
  <c r="D203" i="3"/>
  <c r="A204" i="3"/>
  <c r="A208" i="4" s="1"/>
  <c r="B240" i="5" s="1"/>
  <c r="B204" i="3"/>
  <c r="B208" i="4" s="1"/>
  <c r="C204" i="3"/>
  <c r="D204" i="3"/>
  <c r="A205" i="3"/>
  <c r="A209" i="4" s="1"/>
  <c r="B241" i="5" s="1"/>
  <c r="B205" i="3"/>
  <c r="B209" i="4" s="1"/>
  <c r="C205" i="3"/>
  <c r="D205" i="3"/>
  <c r="A206" i="3"/>
  <c r="A210" i="4" s="1"/>
  <c r="B242" i="5" s="1"/>
  <c r="B206" i="3"/>
  <c r="B210" i="4" s="1"/>
  <c r="C206" i="3"/>
  <c r="D206" i="3"/>
  <c r="A211" i="3"/>
  <c r="A215" i="4" s="1"/>
  <c r="B247" i="5" s="1"/>
  <c r="B211" i="3"/>
  <c r="B215" i="4" s="1"/>
  <c r="C211" i="3"/>
  <c r="D211" i="3"/>
  <c r="A212" i="3"/>
  <c r="A216" i="4" s="1"/>
  <c r="B248" i="5" s="1"/>
  <c r="B212" i="3"/>
  <c r="B216" i="4" s="1"/>
  <c r="C212" i="3"/>
  <c r="D212" i="3"/>
  <c r="A213" i="3"/>
  <c r="A217" i="4" s="1"/>
  <c r="B249" i="5" s="1"/>
  <c r="B213" i="3"/>
  <c r="B217" i="4" s="1"/>
  <c r="C213" i="3"/>
  <c r="D213" i="3"/>
  <c r="A214" i="3"/>
  <c r="A218" i="4" s="1"/>
  <c r="B250" i="5" s="1"/>
  <c r="B214" i="3"/>
  <c r="B218" i="4" s="1"/>
  <c r="C214" i="3"/>
  <c r="D214" i="3"/>
  <c r="A215" i="3"/>
  <c r="A219" i="4" s="1"/>
  <c r="B251" i="5" s="1"/>
  <c r="B215" i="3"/>
  <c r="B219" i="4" s="1"/>
  <c r="C215" i="3"/>
  <c r="D215" i="3"/>
  <c r="A217" i="3"/>
  <c r="A221" i="4" s="1"/>
  <c r="B253" i="5" s="1"/>
  <c r="B217" i="3"/>
  <c r="B221" i="4" s="1"/>
  <c r="C217" i="3"/>
  <c r="D217" i="3"/>
  <c r="A218" i="3"/>
  <c r="A222" i="4" s="1"/>
  <c r="B254" i="5" s="1"/>
  <c r="B218" i="3"/>
  <c r="B222" i="4" s="1"/>
  <c r="C218" i="3"/>
  <c r="D218" i="3"/>
  <c r="A219" i="3"/>
  <c r="A223" i="4" s="1"/>
  <c r="B255" i="5" s="1"/>
  <c r="B219" i="3"/>
  <c r="B223" i="4" s="1"/>
  <c r="C219" i="3"/>
  <c r="D219" i="3"/>
  <c r="A220" i="3"/>
  <c r="A224" i="4" s="1"/>
  <c r="B256" i="5" s="1"/>
  <c r="B220" i="3"/>
  <c r="B224" i="4" s="1"/>
  <c r="C220" i="3"/>
  <c r="D220" i="3"/>
  <c r="A221" i="3"/>
  <c r="A225" i="4" s="1"/>
  <c r="B257" i="5" s="1"/>
  <c r="B221" i="3"/>
  <c r="B225" i="4" s="1"/>
  <c r="C221" i="3"/>
  <c r="D221" i="3"/>
  <c r="A222" i="3"/>
  <c r="A226" i="4" s="1"/>
  <c r="B258" i="5" s="1"/>
  <c r="B222" i="3"/>
  <c r="B226" i="4" s="1"/>
  <c r="C222" i="3"/>
  <c r="D222" i="3"/>
  <c r="A223" i="3"/>
  <c r="A227" i="4" s="1"/>
  <c r="B259" i="5" s="1"/>
  <c r="B223" i="3"/>
  <c r="B227" i="4" s="1"/>
  <c r="C223" i="3"/>
  <c r="D223" i="3"/>
  <c r="A225" i="3"/>
  <c r="A229" i="4" s="1"/>
  <c r="B261" i="5" s="1"/>
  <c r="B225" i="3"/>
  <c r="B229" i="4" s="1"/>
  <c r="C225" i="3"/>
  <c r="D225" i="3"/>
  <c r="A226" i="3"/>
  <c r="A230" i="4" s="1"/>
  <c r="B262" i="5" s="1"/>
  <c r="B226" i="3"/>
  <c r="B230" i="4" s="1"/>
  <c r="C226" i="3"/>
  <c r="D226" i="3"/>
  <c r="A227" i="3"/>
  <c r="A231" i="4" s="1"/>
  <c r="B263" i="5" s="1"/>
  <c r="B227" i="3"/>
  <c r="B231" i="4" s="1"/>
  <c r="C227" i="3"/>
  <c r="D227" i="3"/>
  <c r="A229" i="3"/>
  <c r="A233" i="4" s="1"/>
  <c r="B265" i="5" s="1"/>
  <c r="B229" i="3"/>
  <c r="B233" i="4" s="1"/>
  <c r="C229" i="3"/>
  <c r="D229" i="3"/>
  <c r="A230" i="3"/>
  <c r="A234" i="4" s="1"/>
  <c r="B266" i="5" s="1"/>
  <c r="B230" i="3"/>
  <c r="B234" i="4" s="1"/>
  <c r="C230" i="3"/>
  <c r="D230" i="3"/>
  <c r="A231" i="3"/>
  <c r="A235" i="4" s="1"/>
  <c r="B267" i="5" s="1"/>
  <c r="B231" i="3"/>
  <c r="B235" i="4" s="1"/>
  <c r="C231" i="3"/>
  <c r="D231" i="3"/>
  <c r="A232" i="3"/>
  <c r="A236" i="4" s="1"/>
  <c r="B268" i="5" s="1"/>
  <c r="B232" i="3"/>
  <c r="B236" i="4" s="1"/>
  <c r="C232" i="3"/>
  <c r="D232" i="3"/>
  <c r="A233" i="3"/>
  <c r="A237" i="4" s="1"/>
  <c r="B269" i="5" s="1"/>
  <c r="B233" i="3"/>
  <c r="B237" i="4" s="1"/>
  <c r="C233" i="3"/>
  <c r="D233" i="3"/>
  <c r="A234" i="3"/>
  <c r="A238" i="4" s="1"/>
  <c r="B270" i="5" s="1"/>
  <c r="B234" i="3"/>
  <c r="B238" i="4" s="1"/>
  <c r="C234" i="3"/>
  <c r="D234" i="3"/>
  <c r="A236" i="3"/>
  <c r="A240" i="4" s="1"/>
  <c r="B272" i="5" s="1"/>
  <c r="B236" i="3"/>
  <c r="B240" i="4" s="1"/>
  <c r="C236" i="3"/>
  <c r="D236" i="3"/>
  <c r="A237" i="3"/>
  <c r="A241" i="4" s="1"/>
  <c r="B273" i="5" s="1"/>
  <c r="B237" i="3"/>
  <c r="B241" i="4" s="1"/>
  <c r="C237" i="3"/>
  <c r="D237" i="3"/>
  <c r="A238" i="3"/>
  <c r="A242" i="4" s="1"/>
  <c r="B274" i="5" s="1"/>
  <c r="B238" i="3"/>
  <c r="B242" i="4" s="1"/>
  <c r="C238" i="3"/>
  <c r="D238" i="3"/>
  <c r="A239" i="3"/>
  <c r="A243" i="4" s="1"/>
  <c r="B275" i="5" s="1"/>
  <c r="B239" i="3"/>
  <c r="B243" i="4" s="1"/>
  <c r="C239" i="3"/>
  <c r="D239" i="3"/>
  <c r="A240" i="3"/>
  <c r="A244" i="4" s="1"/>
  <c r="B276" i="5" s="1"/>
  <c r="B240" i="3"/>
  <c r="B244" i="4" s="1"/>
  <c r="C240" i="3"/>
  <c r="D240" i="3"/>
  <c r="A242" i="3"/>
  <c r="A246" i="4" s="1"/>
  <c r="B278" i="5" s="1"/>
  <c r="B242" i="3"/>
  <c r="B246" i="4" s="1"/>
  <c r="C242" i="3"/>
  <c r="D242" i="3"/>
  <c r="A243" i="3"/>
  <c r="A247" i="4" s="1"/>
  <c r="B279" i="5" s="1"/>
  <c r="B243" i="3"/>
  <c r="B247" i="4" s="1"/>
  <c r="C243" i="3"/>
  <c r="D243" i="3"/>
  <c r="A244" i="3"/>
  <c r="A248" i="4" s="1"/>
  <c r="B280" i="5" s="1"/>
  <c r="B244" i="3"/>
  <c r="B248" i="4" s="1"/>
  <c r="C244" i="3"/>
  <c r="D244" i="3"/>
  <c r="A245" i="3"/>
  <c r="A249" i="4" s="1"/>
  <c r="B281" i="5" s="1"/>
  <c r="B245" i="3"/>
  <c r="B249" i="4" s="1"/>
  <c r="C245" i="3"/>
  <c r="D245" i="3"/>
  <c r="A246" i="3"/>
  <c r="A250" i="4" s="1"/>
  <c r="B282" i="5" s="1"/>
  <c r="B246" i="3"/>
  <c r="B250" i="4" s="1"/>
  <c r="C246" i="3"/>
  <c r="D246" i="3"/>
  <c r="A248" i="3"/>
  <c r="A252" i="4" s="1"/>
  <c r="B284" i="5" s="1"/>
  <c r="B248" i="3"/>
  <c r="B252" i="4" s="1"/>
  <c r="C248" i="3"/>
  <c r="D248" i="3"/>
  <c r="A249" i="3"/>
  <c r="A253" i="4" s="1"/>
  <c r="B285" i="5" s="1"/>
  <c r="B249" i="3"/>
  <c r="B253" i="4" s="1"/>
  <c r="C249" i="3"/>
  <c r="D249" i="3"/>
  <c r="B195" i="3"/>
  <c r="B199" i="4" s="1"/>
  <c r="C195" i="3"/>
  <c r="D195" i="3"/>
  <c r="A195" i="3"/>
  <c r="A199" i="4" s="1"/>
  <c r="B231" i="5" s="1"/>
  <c r="A176" i="3"/>
  <c r="A180" i="4" s="1"/>
  <c r="B212" i="5" s="1"/>
  <c r="B176" i="3"/>
  <c r="B180" i="4" s="1"/>
  <c r="C176" i="3"/>
  <c r="D176" i="3"/>
  <c r="A128" i="3"/>
  <c r="A132" i="4" s="1"/>
  <c r="B164" i="5" s="1"/>
  <c r="B128" i="3"/>
  <c r="B132" i="4" s="1"/>
  <c r="C128" i="3"/>
  <c r="D128" i="3"/>
  <c r="A129" i="3"/>
  <c r="A133" i="4" s="1"/>
  <c r="B165" i="5" s="1"/>
  <c r="B129" i="3"/>
  <c r="B133" i="4" s="1"/>
  <c r="C129" i="3"/>
  <c r="D129" i="3"/>
  <c r="A130" i="3"/>
  <c r="A134" i="4" s="1"/>
  <c r="B166" i="5" s="1"/>
  <c r="B130" i="3"/>
  <c r="B134" i="4" s="1"/>
  <c r="C130" i="3"/>
  <c r="D130" i="3"/>
  <c r="A131" i="3"/>
  <c r="A135" i="4" s="1"/>
  <c r="B167" i="5" s="1"/>
  <c r="B131" i="3"/>
  <c r="B135" i="4" s="1"/>
  <c r="C131" i="3"/>
  <c r="D131" i="3"/>
  <c r="A132" i="3"/>
  <c r="A136" i="4" s="1"/>
  <c r="B168" i="5" s="1"/>
  <c r="B132" i="3"/>
  <c r="B136" i="4" s="1"/>
  <c r="C132" i="3"/>
  <c r="D132" i="3"/>
  <c r="A140" i="3"/>
  <c r="A144" i="4" s="1"/>
  <c r="B176" i="5" s="1"/>
  <c r="B140" i="3"/>
  <c r="B144" i="4" s="1"/>
  <c r="C140" i="3"/>
  <c r="D140" i="3"/>
  <c r="A141" i="3"/>
  <c r="A145" i="4" s="1"/>
  <c r="B177" i="5" s="1"/>
  <c r="B141" i="3"/>
  <c r="B145" i="4" s="1"/>
  <c r="C141" i="3"/>
  <c r="D141" i="3"/>
  <c r="A142" i="3"/>
  <c r="A146" i="4" s="1"/>
  <c r="B178" i="5" s="1"/>
  <c r="B142" i="3"/>
  <c r="B146" i="4" s="1"/>
  <c r="C142" i="3"/>
  <c r="D142" i="3"/>
  <c r="A143" i="3"/>
  <c r="A147" i="4" s="1"/>
  <c r="B179" i="5" s="1"/>
  <c r="B143" i="3"/>
  <c r="B147" i="4" s="1"/>
  <c r="C143" i="3"/>
  <c r="D143" i="3"/>
  <c r="A144" i="3"/>
  <c r="A148" i="4" s="1"/>
  <c r="B180" i="5" s="1"/>
  <c r="B144" i="3"/>
  <c r="B148" i="4" s="1"/>
  <c r="C144" i="3"/>
  <c r="D144" i="3"/>
  <c r="A145" i="3"/>
  <c r="A149" i="4" s="1"/>
  <c r="B181" i="5" s="1"/>
  <c r="B145" i="3"/>
  <c r="B149" i="4" s="1"/>
  <c r="C145" i="3"/>
  <c r="D145" i="3"/>
  <c r="A146" i="3"/>
  <c r="A150" i="4" s="1"/>
  <c r="B182" i="5" s="1"/>
  <c r="B146" i="3"/>
  <c r="B150" i="4" s="1"/>
  <c r="C146" i="3"/>
  <c r="D146" i="3"/>
  <c r="A148" i="3"/>
  <c r="A152" i="4" s="1"/>
  <c r="B184" i="5" s="1"/>
  <c r="B148" i="3"/>
  <c r="B152" i="4" s="1"/>
  <c r="C148" i="3"/>
  <c r="D148" i="3"/>
  <c r="A149" i="3"/>
  <c r="A153" i="4" s="1"/>
  <c r="B185" i="5" s="1"/>
  <c r="B149" i="3"/>
  <c r="B153" i="4" s="1"/>
  <c r="C149" i="3"/>
  <c r="D149" i="3"/>
  <c r="A151" i="3"/>
  <c r="A155" i="4" s="1"/>
  <c r="B187" i="5" s="1"/>
  <c r="B151" i="3"/>
  <c r="B155" i="4" s="1"/>
  <c r="C151" i="3"/>
  <c r="D151" i="3"/>
  <c r="A152" i="3"/>
  <c r="A156" i="4" s="1"/>
  <c r="B188" i="5" s="1"/>
  <c r="B152" i="3"/>
  <c r="B156" i="4" s="1"/>
  <c r="C152" i="3"/>
  <c r="D152" i="3"/>
  <c r="A153" i="3"/>
  <c r="A157" i="4" s="1"/>
  <c r="B189" i="5" s="1"/>
  <c r="B153" i="3"/>
  <c r="B157" i="4" s="1"/>
  <c r="C153" i="3"/>
  <c r="D153" i="3"/>
  <c r="A154" i="3"/>
  <c r="A158" i="4" s="1"/>
  <c r="B190" i="5" s="1"/>
  <c r="B154" i="3"/>
  <c r="B158" i="4" s="1"/>
  <c r="C154" i="3"/>
  <c r="D154" i="3"/>
  <c r="A155" i="3"/>
  <c r="A159" i="4" s="1"/>
  <c r="B191" i="5" s="1"/>
  <c r="B155" i="3"/>
  <c r="B159" i="4" s="1"/>
  <c r="C155" i="3"/>
  <c r="D155" i="3"/>
  <c r="A156" i="3"/>
  <c r="A160" i="4" s="1"/>
  <c r="B192" i="5" s="1"/>
  <c r="B156" i="3"/>
  <c r="B160" i="4" s="1"/>
  <c r="C156" i="3"/>
  <c r="D156" i="3"/>
  <c r="A157" i="3"/>
  <c r="A161" i="4" s="1"/>
  <c r="B193" i="5" s="1"/>
  <c r="B157" i="3"/>
  <c r="B161" i="4" s="1"/>
  <c r="C157" i="3"/>
  <c r="D157" i="3"/>
  <c r="A158" i="3"/>
  <c r="A162" i="4" s="1"/>
  <c r="B194" i="5" s="1"/>
  <c r="B158" i="3"/>
  <c r="B162" i="4" s="1"/>
  <c r="C158" i="3"/>
  <c r="D158" i="3"/>
  <c r="A159" i="3"/>
  <c r="A163" i="4" s="1"/>
  <c r="B159" i="3"/>
  <c r="B163" i="4" s="1"/>
  <c r="C159" i="3"/>
  <c r="D159" i="3"/>
  <c r="A160" i="3"/>
  <c r="A164" i="4" s="1"/>
  <c r="B196" i="5" s="1"/>
  <c r="B160" i="3"/>
  <c r="B164" i="4" s="1"/>
  <c r="C160" i="3"/>
  <c r="D160" i="3"/>
  <c r="A161" i="3"/>
  <c r="A165" i="4" s="1"/>
  <c r="B197" i="5" s="1"/>
  <c r="B161" i="3"/>
  <c r="B165" i="4" s="1"/>
  <c r="C161" i="3"/>
  <c r="D161" i="3"/>
  <c r="A163" i="3"/>
  <c r="A167" i="4" s="1"/>
  <c r="B199" i="5" s="1"/>
  <c r="B163" i="3"/>
  <c r="B167" i="4" s="1"/>
  <c r="C163" i="3"/>
  <c r="D163" i="3"/>
  <c r="A164" i="3"/>
  <c r="A168" i="4" s="1"/>
  <c r="B200" i="5" s="1"/>
  <c r="B164" i="3"/>
  <c r="B168" i="4" s="1"/>
  <c r="C164" i="3"/>
  <c r="D164" i="3"/>
  <c r="A165" i="3"/>
  <c r="A169" i="4" s="1"/>
  <c r="B201" i="5" s="1"/>
  <c r="B165" i="3"/>
  <c r="B169" i="4" s="1"/>
  <c r="C165" i="3"/>
  <c r="D165" i="3"/>
  <c r="A166" i="3"/>
  <c r="A170" i="4" s="1"/>
  <c r="B202" i="5" s="1"/>
  <c r="B166" i="3"/>
  <c r="B170" i="4" s="1"/>
  <c r="C166" i="3"/>
  <c r="D166" i="3"/>
  <c r="A167" i="3"/>
  <c r="A171" i="4" s="1"/>
  <c r="B203" i="5" s="1"/>
  <c r="B167" i="3"/>
  <c r="B171" i="4" s="1"/>
  <c r="C167" i="3"/>
  <c r="D167" i="3"/>
  <c r="A168" i="3"/>
  <c r="A172" i="4" s="1"/>
  <c r="B204" i="5" s="1"/>
  <c r="B168" i="3"/>
  <c r="B172" i="4" s="1"/>
  <c r="C168" i="3"/>
  <c r="D168" i="3"/>
  <c r="A170" i="3"/>
  <c r="A174" i="4" s="1"/>
  <c r="B206" i="5" s="1"/>
  <c r="B170" i="3"/>
  <c r="B174" i="4" s="1"/>
  <c r="C170" i="3"/>
  <c r="D170" i="3"/>
  <c r="A171" i="3"/>
  <c r="A175" i="4" s="1"/>
  <c r="B207" i="5" s="1"/>
  <c r="B171" i="3"/>
  <c r="B175" i="4" s="1"/>
  <c r="C171" i="3"/>
  <c r="D171" i="3"/>
  <c r="A172" i="3"/>
  <c r="A176" i="4" s="1"/>
  <c r="B208" i="5" s="1"/>
  <c r="B172" i="3"/>
  <c r="B176" i="4" s="1"/>
  <c r="C172" i="3"/>
  <c r="D172" i="3"/>
  <c r="A173" i="3"/>
  <c r="A177" i="4" s="1"/>
  <c r="B209" i="5" s="1"/>
  <c r="B173" i="3"/>
  <c r="B177" i="4" s="1"/>
  <c r="C173" i="3"/>
  <c r="D173" i="3"/>
  <c r="A174" i="3"/>
  <c r="A178" i="4" s="1"/>
  <c r="B210" i="5" s="1"/>
  <c r="B174" i="3"/>
  <c r="B178" i="4" s="1"/>
  <c r="C174" i="3"/>
  <c r="D174" i="3"/>
  <c r="A175" i="3"/>
  <c r="A179" i="4" s="1"/>
  <c r="B211" i="5" s="1"/>
  <c r="B175" i="3"/>
  <c r="B179" i="4" s="1"/>
  <c r="C175" i="3"/>
  <c r="D175" i="3"/>
  <c r="A177" i="3"/>
  <c r="A181" i="4" s="1"/>
  <c r="B213" i="5" s="1"/>
  <c r="B177" i="3"/>
  <c r="B181" i="4" s="1"/>
  <c r="C177" i="3"/>
  <c r="D177" i="3"/>
  <c r="A178" i="3"/>
  <c r="A182" i="4" s="1"/>
  <c r="B214" i="5" s="1"/>
  <c r="B178" i="3"/>
  <c r="B182" i="4" s="1"/>
  <c r="C178" i="3"/>
  <c r="D178" i="3"/>
  <c r="A179" i="3"/>
  <c r="A183" i="4" s="1"/>
  <c r="B215" i="5" s="1"/>
  <c r="B179" i="3"/>
  <c r="B183" i="4" s="1"/>
  <c r="C179" i="3"/>
  <c r="D179" i="3"/>
  <c r="A180" i="3"/>
  <c r="A184" i="4" s="1"/>
  <c r="B216" i="5" s="1"/>
  <c r="B180" i="3"/>
  <c r="B184" i="4" s="1"/>
  <c r="C180" i="3"/>
  <c r="D180" i="3"/>
  <c r="A181" i="3"/>
  <c r="A185" i="4" s="1"/>
  <c r="B217" i="5" s="1"/>
  <c r="B181" i="3"/>
  <c r="B185" i="4" s="1"/>
  <c r="C181" i="3"/>
  <c r="D181" i="3"/>
  <c r="A182" i="3"/>
  <c r="A186" i="4" s="1"/>
  <c r="B218" i="5" s="1"/>
  <c r="B182" i="3"/>
  <c r="B186" i="4" s="1"/>
  <c r="C182" i="3"/>
  <c r="D182" i="3"/>
  <c r="A183" i="3"/>
  <c r="A187" i="4" s="1"/>
  <c r="B219" i="5" s="1"/>
  <c r="B183" i="3"/>
  <c r="B187" i="4" s="1"/>
  <c r="C183" i="3"/>
  <c r="D183" i="3"/>
  <c r="A184" i="3"/>
  <c r="A188" i="4" s="1"/>
  <c r="B220" i="5" s="1"/>
  <c r="B184" i="3"/>
  <c r="B188" i="4" s="1"/>
  <c r="C184" i="3"/>
  <c r="D184" i="3"/>
  <c r="A186" i="3"/>
  <c r="A190" i="4" s="1"/>
  <c r="B222" i="5" s="1"/>
  <c r="B186" i="3"/>
  <c r="B190" i="4" s="1"/>
  <c r="C186" i="3"/>
  <c r="D186" i="3"/>
  <c r="A187" i="3"/>
  <c r="A191" i="4" s="1"/>
  <c r="B223" i="5" s="1"/>
  <c r="B187" i="3"/>
  <c r="B191" i="4" s="1"/>
  <c r="C187" i="3"/>
  <c r="D187" i="3"/>
  <c r="A188" i="3"/>
  <c r="A192" i="4" s="1"/>
  <c r="B224" i="5" s="1"/>
  <c r="B188" i="3"/>
  <c r="B192" i="4" s="1"/>
  <c r="C188" i="3"/>
  <c r="D188" i="3"/>
  <c r="A189" i="3"/>
  <c r="A193" i="4" s="1"/>
  <c r="B225" i="5" s="1"/>
  <c r="B189" i="3"/>
  <c r="B193" i="4" s="1"/>
  <c r="C189" i="3"/>
  <c r="D189" i="3"/>
  <c r="A190" i="3"/>
  <c r="A194" i="4" s="1"/>
  <c r="B226" i="5" s="1"/>
  <c r="B190" i="3"/>
  <c r="B194" i="4" s="1"/>
  <c r="C190" i="3"/>
  <c r="D190" i="3"/>
  <c r="A191" i="3"/>
  <c r="A195" i="4" s="1"/>
  <c r="B227" i="5" s="1"/>
  <c r="B191" i="3"/>
  <c r="B195" i="4" s="1"/>
  <c r="C191" i="3"/>
  <c r="D191" i="3"/>
  <c r="A192" i="3"/>
  <c r="A196" i="4" s="1"/>
  <c r="B228" i="5" s="1"/>
  <c r="B192" i="3"/>
  <c r="B196" i="4" s="1"/>
  <c r="C192" i="3"/>
  <c r="D192" i="3"/>
  <c r="A193" i="3"/>
  <c r="A197" i="4" s="1"/>
  <c r="B229" i="5" s="1"/>
  <c r="B193" i="3"/>
  <c r="B197" i="4" s="1"/>
  <c r="C193" i="3"/>
  <c r="D193" i="3"/>
  <c r="B127" i="3"/>
  <c r="B131" i="4" s="1"/>
  <c r="C127" i="3"/>
  <c r="D127" i="3"/>
  <c r="A127" i="3"/>
  <c r="A131" i="4" s="1"/>
  <c r="B163" i="5" s="1"/>
  <c r="A63" i="3"/>
  <c r="A67" i="4" s="1"/>
  <c r="B99" i="5" s="1"/>
  <c r="B63" i="3"/>
  <c r="B67" i="4" s="1"/>
  <c r="C63" i="3"/>
  <c r="X63" i="3" s="1"/>
  <c r="A64" i="3"/>
  <c r="A68" i="4" s="1"/>
  <c r="B100" i="5" s="1"/>
  <c r="B64" i="3"/>
  <c r="B68" i="4" s="1"/>
  <c r="C64" i="3"/>
  <c r="X64" i="3" s="1"/>
  <c r="A65" i="3"/>
  <c r="A69" i="4" s="1"/>
  <c r="B101" i="5" s="1"/>
  <c r="B65" i="3"/>
  <c r="B69" i="4" s="1"/>
  <c r="C65" i="3"/>
  <c r="X65" i="3" s="1"/>
  <c r="A66" i="3"/>
  <c r="A70" i="4" s="1"/>
  <c r="B102" i="5" s="1"/>
  <c r="B66" i="3"/>
  <c r="B70" i="4" s="1"/>
  <c r="C66" i="3"/>
  <c r="X66" i="3" s="1"/>
  <c r="A68" i="3"/>
  <c r="A72" i="4" s="1"/>
  <c r="B104" i="5" s="1"/>
  <c r="B68" i="3"/>
  <c r="B72" i="4" s="1"/>
  <c r="C68" i="3"/>
  <c r="A69" i="3"/>
  <c r="A73" i="4" s="1"/>
  <c r="B105" i="5" s="1"/>
  <c r="B69" i="3"/>
  <c r="B73" i="4" s="1"/>
  <c r="C69" i="3"/>
  <c r="X69" i="3" s="1"/>
  <c r="A70" i="3"/>
  <c r="A74" i="4" s="1"/>
  <c r="B106" i="5" s="1"/>
  <c r="B70" i="3"/>
  <c r="B74" i="4" s="1"/>
  <c r="C70" i="3"/>
  <c r="X70" i="3" s="1"/>
  <c r="B71" i="3"/>
  <c r="B75" i="4" s="1"/>
  <c r="C71" i="3"/>
  <c r="X71" i="3" s="1"/>
  <c r="A72" i="3"/>
  <c r="A76" i="4" s="1"/>
  <c r="B108" i="5" s="1"/>
  <c r="B72" i="3"/>
  <c r="B76" i="4" s="1"/>
  <c r="C72" i="3"/>
  <c r="A73" i="3"/>
  <c r="A77" i="4" s="1"/>
  <c r="B109" i="5" s="1"/>
  <c r="B73" i="3"/>
  <c r="B77" i="4" s="1"/>
  <c r="C73" i="3"/>
  <c r="A75" i="3"/>
  <c r="A79" i="4" s="1"/>
  <c r="B111" i="5" s="1"/>
  <c r="B75" i="3"/>
  <c r="B79" i="4" s="1"/>
  <c r="C75" i="3"/>
  <c r="A76" i="3"/>
  <c r="A80" i="4" s="1"/>
  <c r="B112" i="5" s="1"/>
  <c r="B76" i="3"/>
  <c r="B80" i="4" s="1"/>
  <c r="C76" i="3"/>
  <c r="A78" i="3"/>
  <c r="A82" i="4" s="1"/>
  <c r="B114" i="5" s="1"/>
  <c r="B78" i="3"/>
  <c r="B82" i="4" s="1"/>
  <c r="C78" i="3"/>
  <c r="A80" i="3"/>
  <c r="A84" i="4" s="1"/>
  <c r="B116" i="5" s="1"/>
  <c r="B80" i="3"/>
  <c r="B84" i="4" s="1"/>
  <c r="C80" i="3"/>
  <c r="A81" i="3"/>
  <c r="A85" i="4" s="1"/>
  <c r="B117" i="5" s="1"/>
  <c r="B81" i="3"/>
  <c r="B85" i="4" s="1"/>
  <c r="C81" i="3"/>
  <c r="A83" i="3"/>
  <c r="A87" i="4" s="1"/>
  <c r="B119" i="5" s="1"/>
  <c r="B83" i="3"/>
  <c r="B87" i="4" s="1"/>
  <c r="C83" i="3"/>
  <c r="A84" i="3"/>
  <c r="A88" i="4" s="1"/>
  <c r="B120" i="5" s="1"/>
  <c r="B84" i="3"/>
  <c r="B88" i="4" s="1"/>
  <c r="C84" i="3"/>
  <c r="A85" i="3"/>
  <c r="A89" i="4" s="1"/>
  <c r="B121" i="5" s="1"/>
  <c r="B85" i="3"/>
  <c r="B89" i="4" s="1"/>
  <c r="C85" i="3"/>
  <c r="A86" i="3"/>
  <c r="A90" i="4" s="1"/>
  <c r="B122" i="5" s="1"/>
  <c r="B86" i="3"/>
  <c r="B90" i="4" s="1"/>
  <c r="C86" i="3"/>
  <c r="A87" i="3"/>
  <c r="A91" i="4" s="1"/>
  <c r="B123" i="5" s="1"/>
  <c r="B87" i="3"/>
  <c r="B91" i="4" s="1"/>
  <c r="C87" i="3"/>
  <c r="A88" i="3"/>
  <c r="A92" i="4" s="1"/>
  <c r="B124" i="5" s="1"/>
  <c r="B88" i="3"/>
  <c r="B92" i="4" s="1"/>
  <c r="C88" i="3"/>
  <c r="A89" i="3"/>
  <c r="A93" i="4" s="1"/>
  <c r="B125" i="5" s="1"/>
  <c r="B89" i="3"/>
  <c r="B93" i="4" s="1"/>
  <c r="C89" i="3"/>
  <c r="A90" i="3"/>
  <c r="A94" i="4" s="1"/>
  <c r="B126" i="5" s="1"/>
  <c r="B90" i="3"/>
  <c r="B94" i="4" s="1"/>
  <c r="C90" i="3"/>
  <c r="A91" i="3"/>
  <c r="A95" i="4" s="1"/>
  <c r="B127" i="5" s="1"/>
  <c r="B91" i="3"/>
  <c r="B95" i="4" s="1"/>
  <c r="C91" i="3"/>
  <c r="D95" i="4" s="1"/>
  <c r="A92" i="3"/>
  <c r="A96" i="4" s="1"/>
  <c r="B128" i="5" s="1"/>
  <c r="B92" i="3"/>
  <c r="B96" i="4" s="1"/>
  <c r="C92" i="3"/>
  <c r="D96" i="4" s="1"/>
  <c r="A93" i="3"/>
  <c r="A97" i="4" s="1"/>
  <c r="B129" i="5" s="1"/>
  <c r="B93" i="3"/>
  <c r="B97" i="4" s="1"/>
  <c r="C93" i="3"/>
  <c r="D97" i="4" s="1"/>
  <c r="A94" i="3"/>
  <c r="A98" i="4" s="1"/>
  <c r="B130" i="5" s="1"/>
  <c r="B94" i="3"/>
  <c r="B98" i="4" s="1"/>
  <c r="C94" i="3"/>
  <c r="D98" i="4" s="1"/>
  <c r="A95" i="3"/>
  <c r="A99" i="4" s="1"/>
  <c r="B131" i="5" s="1"/>
  <c r="B95" i="3"/>
  <c r="B99" i="4" s="1"/>
  <c r="C95" i="3"/>
  <c r="D99" i="4" s="1"/>
  <c r="A97" i="3"/>
  <c r="A101" i="4" s="1"/>
  <c r="B133" i="5" s="1"/>
  <c r="B97" i="3"/>
  <c r="B101" i="4" s="1"/>
  <c r="C97" i="3"/>
  <c r="D101" i="4" s="1"/>
  <c r="A98" i="3"/>
  <c r="A102" i="4" s="1"/>
  <c r="B134" i="5" s="1"/>
  <c r="B98" i="3"/>
  <c r="B102" i="4" s="1"/>
  <c r="C98" i="3"/>
  <c r="D102" i="4" s="1"/>
  <c r="A99" i="3"/>
  <c r="A103" i="4" s="1"/>
  <c r="B135" i="5" s="1"/>
  <c r="B99" i="3"/>
  <c r="B103" i="4" s="1"/>
  <c r="C99" i="3"/>
  <c r="D103" i="4" s="1"/>
  <c r="A100" i="3"/>
  <c r="A104" i="4" s="1"/>
  <c r="B136" i="5" s="1"/>
  <c r="B100" i="3"/>
  <c r="B104" i="4" s="1"/>
  <c r="C100" i="3"/>
  <c r="D104" i="4" s="1"/>
  <c r="A101" i="3"/>
  <c r="A105" i="4" s="1"/>
  <c r="B137" i="5" s="1"/>
  <c r="B101" i="3"/>
  <c r="B105" i="4" s="1"/>
  <c r="C101" i="3"/>
  <c r="D105" i="4" s="1"/>
  <c r="A102" i="3"/>
  <c r="A106" i="4" s="1"/>
  <c r="B138" i="5" s="1"/>
  <c r="B102" i="3"/>
  <c r="B106" i="4" s="1"/>
  <c r="C102" i="3"/>
  <c r="D106" i="4" s="1"/>
  <c r="A103" i="3"/>
  <c r="A107" i="4" s="1"/>
  <c r="B139" i="5" s="1"/>
  <c r="B103" i="3"/>
  <c r="B107" i="4" s="1"/>
  <c r="C103" i="3"/>
  <c r="D107" i="4" s="1"/>
  <c r="A104" i="3"/>
  <c r="A108" i="4" s="1"/>
  <c r="B140" i="5" s="1"/>
  <c r="B104" i="3"/>
  <c r="B108" i="4" s="1"/>
  <c r="C104" i="3"/>
  <c r="D108" i="4" s="1"/>
  <c r="A105" i="3"/>
  <c r="A109" i="4" s="1"/>
  <c r="B141" i="5" s="1"/>
  <c r="B105" i="3"/>
  <c r="B109" i="4" s="1"/>
  <c r="C105" i="3"/>
  <c r="D109" i="4" s="1"/>
  <c r="A106" i="3"/>
  <c r="A110" i="4" s="1"/>
  <c r="B142" i="5" s="1"/>
  <c r="B106" i="3"/>
  <c r="B110" i="4" s="1"/>
  <c r="C106" i="3"/>
  <c r="D110" i="4" s="1"/>
  <c r="A107" i="3"/>
  <c r="A111" i="4" s="1"/>
  <c r="B143" i="5" s="1"/>
  <c r="B107" i="3"/>
  <c r="B111" i="4" s="1"/>
  <c r="C107" i="3"/>
  <c r="D111" i="4" s="1"/>
  <c r="A108" i="3"/>
  <c r="A112" i="4" s="1"/>
  <c r="B144" i="5" s="1"/>
  <c r="B108" i="3"/>
  <c r="B112" i="4" s="1"/>
  <c r="C108" i="3"/>
  <c r="A109" i="3"/>
  <c r="A113" i="4" s="1"/>
  <c r="B145" i="5" s="1"/>
  <c r="B109" i="3"/>
  <c r="B113" i="4" s="1"/>
  <c r="C109" i="3"/>
  <c r="A110" i="3"/>
  <c r="A114" i="4" s="1"/>
  <c r="B146" i="5" s="1"/>
  <c r="B110" i="3"/>
  <c r="B114" i="4" s="1"/>
  <c r="C110" i="3"/>
  <c r="D114" i="4" s="1"/>
  <c r="A111" i="3"/>
  <c r="A115" i="4" s="1"/>
  <c r="B147" i="5" s="1"/>
  <c r="B111" i="3"/>
  <c r="B115" i="4" s="1"/>
  <c r="C111" i="3"/>
  <c r="D115" i="4" s="1"/>
  <c r="A112" i="3"/>
  <c r="A116" i="4" s="1"/>
  <c r="B148" i="5" s="1"/>
  <c r="B112" i="3"/>
  <c r="B116" i="4" s="1"/>
  <c r="C112" i="3"/>
  <c r="D116" i="4" s="1"/>
  <c r="A114" i="3"/>
  <c r="A118" i="4" s="1"/>
  <c r="B150" i="5" s="1"/>
  <c r="B114" i="3"/>
  <c r="B118" i="4" s="1"/>
  <c r="C114" i="3"/>
  <c r="D118" i="4" s="1"/>
  <c r="A115" i="3"/>
  <c r="A119" i="4" s="1"/>
  <c r="B151" i="5" s="1"/>
  <c r="B115" i="3"/>
  <c r="B119" i="4" s="1"/>
  <c r="C115" i="3"/>
  <c r="D119" i="4" s="1"/>
  <c r="F119" i="4" s="1"/>
  <c r="A116" i="3"/>
  <c r="A120" i="4" s="1"/>
  <c r="B152" i="5" s="1"/>
  <c r="B116" i="3"/>
  <c r="B120" i="4" s="1"/>
  <c r="C116" i="3"/>
  <c r="D120" i="4" s="1"/>
  <c r="A117" i="3"/>
  <c r="A121" i="4" s="1"/>
  <c r="B153" i="5" s="1"/>
  <c r="B117" i="3"/>
  <c r="B121" i="4" s="1"/>
  <c r="C117" i="3"/>
  <c r="D121" i="4" s="1"/>
  <c r="F121" i="4" s="1"/>
  <c r="A118" i="3"/>
  <c r="A122" i="4" s="1"/>
  <c r="B154" i="5" s="1"/>
  <c r="B118" i="3"/>
  <c r="B122" i="4" s="1"/>
  <c r="C118" i="3"/>
  <c r="D122" i="4" s="1"/>
  <c r="A120" i="3"/>
  <c r="A124" i="4" s="1"/>
  <c r="B156" i="5" s="1"/>
  <c r="B120" i="3"/>
  <c r="B124" i="4" s="1"/>
  <c r="C120" i="3"/>
  <c r="D124" i="4" s="1"/>
  <c r="A121" i="3"/>
  <c r="A125" i="4" s="1"/>
  <c r="B157" i="5" s="1"/>
  <c r="B121" i="3"/>
  <c r="B125" i="4" s="1"/>
  <c r="C121" i="3"/>
  <c r="D125" i="4" s="1"/>
  <c r="F125" i="4" s="1"/>
  <c r="A122" i="3"/>
  <c r="A126" i="4" s="1"/>
  <c r="B158" i="5" s="1"/>
  <c r="B122" i="3"/>
  <c r="B126" i="4" s="1"/>
  <c r="C122" i="3"/>
  <c r="D126" i="4" s="1"/>
  <c r="A123" i="3"/>
  <c r="A127" i="4" s="1"/>
  <c r="B159" i="5" s="1"/>
  <c r="B123" i="3"/>
  <c r="B127" i="4" s="1"/>
  <c r="C123" i="3"/>
  <c r="D127" i="4" s="1"/>
  <c r="F127" i="4" s="1"/>
  <c r="A124" i="3"/>
  <c r="A128" i="4" s="1"/>
  <c r="B160" i="5" s="1"/>
  <c r="B124" i="3"/>
  <c r="B128" i="4" s="1"/>
  <c r="C124" i="3"/>
  <c r="D128" i="4" s="1"/>
  <c r="A125" i="3"/>
  <c r="A129" i="4" s="1"/>
  <c r="B161" i="5" s="1"/>
  <c r="B125" i="3"/>
  <c r="B129" i="4" s="1"/>
  <c r="C125" i="3"/>
  <c r="D129" i="4" s="1"/>
  <c r="F129" i="4" s="1"/>
  <c r="B62" i="3"/>
  <c r="B66" i="4" s="1"/>
  <c r="C62" i="3"/>
  <c r="D62" i="3"/>
  <c r="A62" i="3"/>
  <c r="A66" i="4" s="1"/>
  <c r="B98" i="5" s="1"/>
  <c r="A27" i="3"/>
  <c r="A31" i="4" s="1"/>
  <c r="B63" i="5" s="1"/>
  <c r="B27" i="3"/>
  <c r="B31" i="4" s="1"/>
  <c r="C27" i="3"/>
  <c r="X27" i="3" s="1"/>
  <c r="A29" i="3"/>
  <c r="A33" i="4" s="1"/>
  <c r="B65" i="5" s="1"/>
  <c r="B29" i="3"/>
  <c r="B33" i="4" s="1"/>
  <c r="C29" i="3"/>
  <c r="X29" i="3" s="1"/>
  <c r="A30" i="3"/>
  <c r="A34" i="4" s="1"/>
  <c r="B66" i="5" s="1"/>
  <c r="B30" i="3"/>
  <c r="B34" i="4" s="1"/>
  <c r="C30" i="3"/>
  <c r="X30" i="3" s="1"/>
  <c r="A31" i="3"/>
  <c r="A35" i="4" s="1"/>
  <c r="B67" i="5" s="1"/>
  <c r="B31" i="3"/>
  <c r="B35" i="4" s="1"/>
  <c r="C31" i="3"/>
  <c r="X31" i="3" s="1"/>
  <c r="A32" i="3"/>
  <c r="A36" i="4" s="1"/>
  <c r="B68" i="5" s="1"/>
  <c r="B32" i="3"/>
  <c r="B36" i="4" s="1"/>
  <c r="C32" i="3"/>
  <c r="X32" i="3" s="1"/>
  <c r="A33" i="3"/>
  <c r="A37" i="4" s="1"/>
  <c r="B69" i="5" s="1"/>
  <c r="B33" i="3"/>
  <c r="B37" i="4" s="1"/>
  <c r="C33" i="3"/>
  <c r="X33" i="3" s="1"/>
  <c r="A34" i="3"/>
  <c r="A38" i="4" s="1"/>
  <c r="B70" i="5" s="1"/>
  <c r="B34" i="3"/>
  <c r="B38" i="4" s="1"/>
  <c r="C34" i="3"/>
  <c r="X34" i="3" s="1"/>
  <c r="A35" i="3"/>
  <c r="A39" i="4" s="1"/>
  <c r="B71" i="5" s="1"/>
  <c r="B35" i="3"/>
  <c r="B39" i="4" s="1"/>
  <c r="C35" i="3"/>
  <c r="X35" i="3" s="1"/>
  <c r="A36" i="3"/>
  <c r="A40" i="4" s="1"/>
  <c r="B72" i="5" s="1"/>
  <c r="B36" i="3"/>
  <c r="B40" i="4" s="1"/>
  <c r="C36" i="3"/>
  <c r="X36" i="3" s="1"/>
  <c r="A38" i="3"/>
  <c r="A42" i="4" s="1"/>
  <c r="B74" i="5" s="1"/>
  <c r="B38" i="3"/>
  <c r="B42" i="4" s="1"/>
  <c r="C38" i="3"/>
  <c r="A39" i="3"/>
  <c r="A43" i="4" s="1"/>
  <c r="B75" i="5" s="1"/>
  <c r="B39" i="3"/>
  <c r="B43" i="4" s="1"/>
  <c r="C39" i="3"/>
  <c r="X39" i="3" s="1"/>
  <c r="A40" i="3"/>
  <c r="A44" i="4" s="1"/>
  <c r="B76" i="5" s="1"/>
  <c r="B40" i="3"/>
  <c r="B44" i="4" s="1"/>
  <c r="C40" i="3"/>
  <c r="A41" i="3"/>
  <c r="A45" i="4" s="1"/>
  <c r="B77" i="5" s="1"/>
  <c r="B41" i="3"/>
  <c r="B45" i="4" s="1"/>
  <c r="C41" i="3"/>
  <c r="A42" i="3"/>
  <c r="A46" i="4" s="1"/>
  <c r="B78" i="5" s="1"/>
  <c r="B42" i="3"/>
  <c r="B46" i="4" s="1"/>
  <c r="C42" i="3"/>
  <c r="A43" i="3"/>
  <c r="A47" i="4" s="1"/>
  <c r="B79" i="5" s="1"/>
  <c r="B43" i="3"/>
  <c r="B47" i="4" s="1"/>
  <c r="C43" i="3"/>
  <c r="A44" i="3"/>
  <c r="A48" i="4" s="1"/>
  <c r="B80" i="5" s="1"/>
  <c r="B44" i="3"/>
  <c r="B48" i="4" s="1"/>
  <c r="C44" i="3"/>
  <c r="A45" i="3"/>
  <c r="A49" i="4" s="1"/>
  <c r="B81" i="5" s="1"/>
  <c r="B45" i="3"/>
  <c r="B49" i="4" s="1"/>
  <c r="C45" i="3"/>
  <c r="A46" i="3"/>
  <c r="A50" i="4" s="1"/>
  <c r="B82" i="5" s="1"/>
  <c r="B46" i="3"/>
  <c r="B50" i="4" s="1"/>
  <c r="C46" i="3"/>
  <c r="A47" i="3"/>
  <c r="A51" i="4" s="1"/>
  <c r="B83" i="5" s="1"/>
  <c r="B47" i="3"/>
  <c r="B51" i="4" s="1"/>
  <c r="C47" i="3"/>
  <c r="A48" i="3"/>
  <c r="A52" i="4" s="1"/>
  <c r="B84" i="5" s="1"/>
  <c r="B48" i="3"/>
  <c r="B52" i="4" s="1"/>
  <c r="C48" i="3"/>
  <c r="A49" i="3"/>
  <c r="A53" i="4" s="1"/>
  <c r="B85" i="5" s="1"/>
  <c r="B49" i="3"/>
  <c r="B53" i="4" s="1"/>
  <c r="C49" i="3"/>
  <c r="A50" i="3"/>
  <c r="A54" i="4" s="1"/>
  <c r="B86" i="5" s="1"/>
  <c r="B50" i="3"/>
  <c r="B54" i="4" s="1"/>
  <c r="C50" i="3"/>
  <c r="A51" i="3"/>
  <c r="A55" i="4" s="1"/>
  <c r="B87" i="5" s="1"/>
  <c r="B51" i="3"/>
  <c r="B55" i="4" s="1"/>
  <c r="C51" i="3"/>
  <c r="A53" i="3"/>
  <c r="A57" i="4" s="1"/>
  <c r="B89" i="5" s="1"/>
  <c r="B53" i="3"/>
  <c r="B57" i="4" s="1"/>
  <c r="C53" i="3"/>
  <c r="A54" i="3"/>
  <c r="A58" i="4" s="1"/>
  <c r="B90" i="5" s="1"/>
  <c r="B54" i="3"/>
  <c r="B58" i="4" s="1"/>
  <c r="C54" i="3"/>
  <c r="A55" i="3"/>
  <c r="A59" i="4" s="1"/>
  <c r="B91" i="5" s="1"/>
  <c r="B55" i="3"/>
  <c r="B59" i="4" s="1"/>
  <c r="C55" i="3"/>
  <c r="A57" i="3"/>
  <c r="A61" i="4" s="1"/>
  <c r="B93" i="5" s="1"/>
  <c r="B57" i="3"/>
  <c r="B61" i="4" s="1"/>
  <c r="C57" i="3"/>
  <c r="A58" i="3"/>
  <c r="A62" i="4" s="1"/>
  <c r="B94" i="5" s="1"/>
  <c r="B58" i="3"/>
  <c r="B62" i="4" s="1"/>
  <c r="C58" i="3"/>
  <c r="A59" i="3"/>
  <c r="A63" i="4" s="1"/>
  <c r="B95" i="5" s="1"/>
  <c r="B59" i="3"/>
  <c r="B63" i="4" s="1"/>
  <c r="C59" i="3"/>
  <c r="A60" i="3"/>
  <c r="A64" i="4" s="1"/>
  <c r="B96" i="5" s="1"/>
  <c r="B60" i="3"/>
  <c r="B64" i="4" s="1"/>
  <c r="C60" i="3"/>
  <c r="A12" i="3"/>
  <c r="A16" i="4" s="1"/>
  <c r="B48" i="5" s="1"/>
  <c r="B12" i="3"/>
  <c r="B16" i="4" s="1"/>
  <c r="C12" i="3"/>
  <c r="X12" i="3" s="1"/>
  <c r="A13" i="3"/>
  <c r="A17" i="4" s="1"/>
  <c r="B49" i="5" s="1"/>
  <c r="B13" i="3"/>
  <c r="B17" i="4" s="1"/>
  <c r="C13" i="3"/>
  <c r="X13" i="3" s="1"/>
  <c r="A14" i="3"/>
  <c r="A18" i="4" s="1"/>
  <c r="B50" i="5" s="1"/>
  <c r="B14" i="3"/>
  <c r="B18" i="4" s="1"/>
  <c r="C14" i="3"/>
  <c r="X14" i="3" s="1"/>
  <c r="A15" i="3"/>
  <c r="A19" i="4" s="1"/>
  <c r="B51" i="5" s="1"/>
  <c r="B15" i="3"/>
  <c r="B19" i="4" s="1"/>
  <c r="C15" i="3"/>
  <c r="X15" i="3" s="1"/>
  <c r="A16" i="3"/>
  <c r="A20" i="4" s="1"/>
  <c r="B52" i="5" s="1"/>
  <c r="B16" i="3"/>
  <c r="B20" i="4" s="1"/>
  <c r="C16" i="3"/>
  <c r="X16" i="3" s="1"/>
  <c r="A17" i="3"/>
  <c r="A21" i="4" s="1"/>
  <c r="B53" i="5" s="1"/>
  <c r="B17" i="3"/>
  <c r="B21" i="4" s="1"/>
  <c r="C17" i="3"/>
  <c r="X17" i="3" s="1"/>
  <c r="A18" i="3"/>
  <c r="A22" i="4" s="1"/>
  <c r="B54" i="5" s="1"/>
  <c r="B18" i="3"/>
  <c r="B22" i="4" s="1"/>
  <c r="C18" i="3"/>
  <c r="A19" i="3"/>
  <c r="A23" i="4" s="1"/>
  <c r="B55" i="5" s="1"/>
  <c r="B19" i="3"/>
  <c r="B23" i="4" s="1"/>
  <c r="C19" i="3"/>
  <c r="A20" i="3"/>
  <c r="A24" i="4" s="1"/>
  <c r="B56" i="5" s="1"/>
  <c r="B20" i="3"/>
  <c r="B24" i="4" s="1"/>
  <c r="C20" i="3"/>
  <c r="A21" i="3"/>
  <c r="A25" i="4" s="1"/>
  <c r="B57" i="5" s="1"/>
  <c r="B21" i="3"/>
  <c r="B25" i="4" s="1"/>
  <c r="C21" i="3"/>
  <c r="A22" i="3"/>
  <c r="A26" i="4" s="1"/>
  <c r="B58" i="5" s="1"/>
  <c r="B22" i="3"/>
  <c r="B26" i="4" s="1"/>
  <c r="C22" i="3"/>
  <c r="A23" i="3"/>
  <c r="A27" i="4" s="1"/>
  <c r="B59" i="5" s="1"/>
  <c r="B23" i="3"/>
  <c r="B27" i="4" s="1"/>
  <c r="C23" i="3"/>
  <c r="A24" i="3"/>
  <c r="A28" i="4" s="1"/>
  <c r="B60" i="5" s="1"/>
  <c r="B24" i="3"/>
  <c r="B28" i="4" s="1"/>
  <c r="C24" i="3"/>
  <c r="X24" i="3" s="1"/>
  <c r="A25" i="3"/>
  <c r="A29" i="4" s="1"/>
  <c r="B61" i="5" s="1"/>
  <c r="B25" i="3"/>
  <c r="B29" i="4" s="1"/>
  <c r="C25" i="3"/>
  <c r="A3" i="3"/>
  <c r="A7" i="4" s="1"/>
  <c r="B39" i="5" s="1"/>
  <c r="B3" i="3"/>
  <c r="B7" i="4" s="1"/>
  <c r="C3" i="3"/>
  <c r="A4" i="3"/>
  <c r="A8" i="4" s="1"/>
  <c r="B40" i="5" s="1"/>
  <c r="B4" i="3"/>
  <c r="B8" i="4" s="1"/>
  <c r="C4" i="3"/>
  <c r="A5" i="3"/>
  <c r="A9" i="4" s="1"/>
  <c r="B41" i="5" s="1"/>
  <c r="B5" i="3"/>
  <c r="B9" i="4" s="1"/>
  <c r="C5" i="3"/>
  <c r="A6" i="3"/>
  <c r="A10" i="4" s="1"/>
  <c r="B42" i="5" s="1"/>
  <c r="B6" i="3"/>
  <c r="B10" i="4" s="1"/>
  <c r="C6" i="3"/>
  <c r="X6" i="3" s="1"/>
  <c r="A7" i="3"/>
  <c r="A11" i="4" s="1"/>
  <c r="B43" i="5" s="1"/>
  <c r="B7" i="3"/>
  <c r="B11" i="4" s="1"/>
  <c r="C7" i="3"/>
  <c r="A8" i="3"/>
  <c r="A12" i="4" s="1"/>
  <c r="B44" i="5" s="1"/>
  <c r="B8" i="3"/>
  <c r="B12" i="4" s="1"/>
  <c r="C8" i="3"/>
  <c r="A9" i="3"/>
  <c r="A13" i="4" s="1"/>
  <c r="B45" i="5" s="1"/>
  <c r="B9" i="3"/>
  <c r="B13" i="4" s="1"/>
  <c r="C9" i="3"/>
  <c r="A10" i="3"/>
  <c r="A14" i="4" s="1"/>
  <c r="B46" i="5" s="1"/>
  <c r="B10" i="3"/>
  <c r="B14" i="4" s="1"/>
  <c r="C10" i="3"/>
  <c r="X10" i="3" s="1"/>
  <c r="B2" i="3"/>
  <c r="C2" i="3"/>
  <c r="D2" i="3"/>
  <c r="A2" i="3"/>
  <c r="U159" i="3" l="1"/>
  <c r="V159" i="3"/>
  <c r="X159" i="3" s="1"/>
  <c r="V170" i="3"/>
  <c r="X170" i="3" s="1"/>
  <c r="U170" i="3"/>
  <c r="D174" i="4" s="1"/>
  <c r="F174" i="4" s="1"/>
  <c r="B6" i="4"/>
  <c r="A6" i="4"/>
  <c r="B38" i="5" s="1"/>
  <c r="X363" i="3"/>
  <c r="X343" i="3"/>
  <c r="X341" i="3"/>
  <c r="X318" i="3"/>
  <c r="X311" i="3"/>
  <c r="X298" i="3"/>
  <c r="X296" i="3"/>
  <c r="X286" i="3"/>
  <c r="X280" i="3"/>
  <c r="X277" i="3"/>
  <c r="X268" i="3"/>
  <c r="X266" i="3"/>
  <c r="X263" i="3"/>
  <c r="X261" i="3"/>
  <c r="X257" i="3"/>
  <c r="X396" i="3"/>
  <c r="X383" i="3"/>
  <c r="X382" i="3"/>
  <c r="X127" i="3"/>
  <c r="X342" i="3"/>
  <c r="X314" i="3"/>
  <c r="X305" i="3"/>
  <c r="X300" i="3"/>
  <c r="X297" i="3"/>
  <c r="X287" i="3"/>
  <c r="X281" i="3"/>
  <c r="X274" i="3"/>
  <c r="X267" i="3"/>
  <c r="X265" i="3"/>
  <c r="X262" i="3"/>
  <c r="X259" i="3"/>
  <c r="X258" i="3"/>
  <c r="X256" i="3"/>
  <c r="X253" i="3"/>
  <c r="D89" i="4"/>
  <c r="F89" i="4" s="1"/>
  <c r="G89" i="4" s="1"/>
  <c r="H89" i="4" s="1"/>
  <c r="I89" i="4" s="1"/>
  <c r="C121" i="5" s="1"/>
  <c r="X85" i="3"/>
  <c r="D94" i="4"/>
  <c r="F94" i="4" s="1"/>
  <c r="G94" i="4" s="1"/>
  <c r="H94" i="4" s="1"/>
  <c r="X90" i="3"/>
  <c r="D85" i="4"/>
  <c r="F85" i="4" s="1"/>
  <c r="X81" i="3"/>
  <c r="D79" i="4"/>
  <c r="F79" i="4" s="1"/>
  <c r="G79" i="4" s="1"/>
  <c r="H79" i="4" s="1"/>
  <c r="I79" i="4" s="1"/>
  <c r="C111" i="5" s="1"/>
  <c r="X75" i="3"/>
  <c r="X379" i="3"/>
  <c r="X378" i="3"/>
  <c r="X377" i="3"/>
  <c r="X376" i="3"/>
  <c r="X375" i="3"/>
  <c r="D84" i="4"/>
  <c r="F84" i="4" s="1"/>
  <c r="G84" i="4" s="1"/>
  <c r="H84" i="4" s="1"/>
  <c r="I84" i="4" s="1"/>
  <c r="C116" i="5" s="1"/>
  <c r="X80" i="3"/>
  <c r="D112" i="4"/>
  <c r="F112" i="4" s="1"/>
  <c r="G112" i="4" s="1"/>
  <c r="H112" i="4" s="1"/>
  <c r="X108" i="3"/>
  <c r="D91" i="4"/>
  <c r="F91" i="4" s="1"/>
  <c r="X87" i="3"/>
  <c r="D87" i="4"/>
  <c r="F87" i="4" s="1"/>
  <c r="G87" i="4" s="1"/>
  <c r="H87" i="4" s="1"/>
  <c r="X83" i="3"/>
  <c r="D80" i="4"/>
  <c r="F80" i="4" s="1"/>
  <c r="G80" i="4" s="1"/>
  <c r="H80" i="4" s="1"/>
  <c r="I80" i="4" s="1"/>
  <c r="C112" i="5" s="1"/>
  <c r="X76" i="3"/>
  <c r="X188" i="3"/>
  <c r="X184" i="3"/>
  <c r="X183" i="3"/>
  <c r="X179" i="3"/>
  <c r="X171" i="3"/>
  <c r="X161" i="3"/>
  <c r="X160" i="3"/>
  <c r="X149" i="3"/>
  <c r="X148" i="3"/>
  <c r="X143" i="3"/>
  <c r="X142" i="3"/>
  <c r="X141" i="3"/>
  <c r="X140" i="3"/>
  <c r="X132" i="3"/>
  <c r="X131" i="3"/>
  <c r="X130" i="3"/>
  <c r="X129" i="3"/>
  <c r="X128" i="3"/>
  <c r="X246" i="3"/>
  <c r="X245" i="3"/>
  <c r="X244" i="3"/>
  <c r="X243" i="3"/>
  <c r="X242" i="3"/>
  <c r="X240" i="3"/>
  <c r="X239" i="3"/>
  <c r="X238" i="3"/>
  <c r="X237" i="3"/>
  <c r="X236" i="3"/>
  <c r="X234" i="3"/>
  <c r="X233" i="3"/>
  <c r="X232" i="3"/>
  <c r="X231" i="3"/>
  <c r="X230" i="3"/>
  <c r="X229" i="3"/>
  <c r="X226" i="3"/>
  <c r="X225" i="3"/>
  <c r="X223" i="3"/>
  <c r="X221" i="3"/>
  <c r="X220" i="3"/>
  <c r="X218" i="3"/>
  <c r="X217" i="3"/>
  <c r="X215" i="3"/>
  <c r="X214" i="3"/>
  <c r="X213" i="3"/>
  <c r="X212" i="3"/>
  <c r="X211" i="3"/>
  <c r="X205" i="3"/>
  <c r="X204" i="3"/>
  <c r="X203" i="3"/>
  <c r="X202" i="3"/>
  <c r="X201" i="3"/>
  <c r="X488" i="3"/>
  <c r="X487" i="3"/>
  <c r="X486" i="3"/>
  <c r="X485" i="3"/>
  <c r="X368" i="3"/>
  <c r="X367" i="3"/>
  <c r="X366" i="3"/>
  <c r="X365" i="3"/>
  <c r="V2" i="3"/>
  <c r="X2" i="3" s="1"/>
  <c r="U2" i="3"/>
  <c r="D8" i="4"/>
  <c r="X4" i="3"/>
  <c r="D113" i="4"/>
  <c r="F113" i="4" s="1"/>
  <c r="G113" i="4" s="1"/>
  <c r="H113" i="4" s="1"/>
  <c r="X109" i="3"/>
  <c r="D92" i="4"/>
  <c r="F92" i="4" s="1"/>
  <c r="G92" i="4" s="1"/>
  <c r="H92" i="4" s="1"/>
  <c r="X88" i="3"/>
  <c r="D88" i="4"/>
  <c r="X84" i="3"/>
  <c r="D82" i="4"/>
  <c r="F82" i="4" s="1"/>
  <c r="G82" i="4" s="1"/>
  <c r="H82" i="4" s="1"/>
  <c r="I82" i="4" s="1"/>
  <c r="C114" i="5" s="1"/>
  <c r="X78" i="3"/>
  <c r="X251" i="3"/>
  <c r="X483" i="3"/>
  <c r="X481" i="3"/>
  <c r="X478" i="3"/>
  <c r="X477" i="3"/>
  <c r="X475" i="3"/>
  <c r="X474" i="3"/>
  <c r="X472" i="3"/>
  <c r="X471" i="3"/>
  <c r="X469" i="3"/>
  <c r="X468" i="3"/>
  <c r="X467" i="3"/>
  <c r="X466" i="3"/>
  <c r="F111" i="4"/>
  <c r="G111" i="4" s="1"/>
  <c r="H111" i="4" s="1"/>
  <c r="G85" i="4"/>
  <c r="H85" i="4" s="1"/>
  <c r="I85" i="4" s="1"/>
  <c r="C117" i="5" s="1"/>
  <c r="F126" i="4"/>
  <c r="G126" i="4" s="1"/>
  <c r="H126" i="4" s="1"/>
  <c r="I126" i="4" s="1"/>
  <c r="C158" i="5" s="1"/>
  <c r="F104" i="4"/>
  <c r="G104" i="4" s="1"/>
  <c r="H104" i="4" s="1"/>
  <c r="F99" i="4"/>
  <c r="G99" i="4" s="1"/>
  <c r="H99" i="4" s="1"/>
  <c r="F95" i="4"/>
  <c r="G95" i="4" s="1"/>
  <c r="H95" i="4" s="1"/>
  <c r="G125" i="4"/>
  <c r="H125" i="4" s="1"/>
  <c r="I125" i="4" s="1"/>
  <c r="C157" i="5" s="1"/>
  <c r="F115" i="4"/>
  <c r="G115" i="4" s="1"/>
  <c r="H115" i="4" s="1"/>
  <c r="F103" i="4"/>
  <c r="G103" i="4" s="1"/>
  <c r="H103" i="4" s="1"/>
  <c r="G121" i="4"/>
  <c r="H121" i="4" s="1"/>
  <c r="I121" i="4" s="1"/>
  <c r="C153" i="5" s="1"/>
  <c r="F116" i="4"/>
  <c r="G116" i="4" s="1"/>
  <c r="H116" i="4" s="1"/>
  <c r="F108" i="4"/>
  <c r="G108" i="4" s="1"/>
  <c r="H108" i="4" s="1"/>
  <c r="G127" i="4"/>
  <c r="H127" i="4" s="1"/>
  <c r="I127" i="4" s="1"/>
  <c r="C159" i="5" s="1"/>
  <c r="F122" i="4"/>
  <c r="G122" i="4" s="1"/>
  <c r="H122" i="4" s="1"/>
  <c r="I122" i="4" s="1"/>
  <c r="C154" i="5" s="1"/>
  <c r="F118" i="4"/>
  <c r="G118" i="4" s="1"/>
  <c r="H118" i="4" s="1"/>
  <c r="I118" i="4" s="1"/>
  <c r="C150" i="5" s="1"/>
  <c r="F109" i="4"/>
  <c r="G109" i="4" s="1"/>
  <c r="H109" i="4" s="1"/>
  <c r="F105" i="4"/>
  <c r="G105" i="4" s="1"/>
  <c r="H105" i="4" s="1"/>
  <c r="F101" i="4"/>
  <c r="G101" i="4" s="1"/>
  <c r="H101" i="4" s="1"/>
  <c r="F96" i="4"/>
  <c r="G96" i="4" s="1"/>
  <c r="H96" i="4" s="1"/>
  <c r="F88" i="4"/>
  <c r="G88" i="4" s="1"/>
  <c r="H88" i="4" s="1"/>
  <c r="I88" i="4" s="1"/>
  <c r="C120" i="5" s="1"/>
  <c r="G129" i="4"/>
  <c r="H129" i="4" s="1"/>
  <c r="I129" i="4" s="1"/>
  <c r="C161" i="5" s="1"/>
  <c r="F120" i="4"/>
  <c r="G120" i="4" s="1"/>
  <c r="H120" i="4" s="1"/>
  <c r="F107" i="4"/>
  <c r="G107" i="4" s="1"/>
  <c r="H107" i="4" s="1"/>
  <c r="F98" i="4"/>
  <c r="G98" i="4" s="1"/>
  <c r="H98" i="4" s="1"/>
  <c r="F128" i="4"/>
  <c r="G128" i="4" s="1"/>
  <c r="H128" i="4" s="1"/>
  <c r="F124" i="4"/>
  <c r="G124" i="4" s="1"/>
  <c r="H124" i="4" s="1"/>
  <c r="G119" i="4"/>
  <c r="H119" i="4" s="1"/>
  <c r="I119" i="4" s="1"/>
  <c r="C151" i="5" s="1"/>
  <c r="F114" i="4"/>
  <c r="G114" i="4" s="1"/>
  <c r="H114" i="4" s="1"/>
  <c r="F110" i="4"/>
  <c r="G110" i="4" s="1"/>
  <c r="H110" i="4" s="1"/>
  <c r="F106" i="4"/>
  <c r="G106" i="4" s="1"/>
  <c r="H106" i="4" s="1"/>
  <c r="F102" i="4"/>
  <c r="G102" i="4" s="1"/>
  <c r="H102" i="4" s="1"/>
  <c r="F97" i="4"/>
  <c r="G97" i="4" s="1"/>
  <c r="H97" i="4" s="1"/>
  <c r="D197" i="4"/>
  <c r="D193" i="4"/>
  <c r="F193" i="4" s="1"/>
  <c r="G193" i="4" s="1"/>
  <c r="H193" i="4" s="1"/>
  <c r="I193" i="4" s="1"/>
  <c r="C225" i="5" s="1"/>
  <c r="D188" i="4"/>
  <c r="D187" i="4"/>
  <c r="D184" i="4"/>
  <c r="D183" i="4"/>
  <c r="D182" i="4"/>
  <c r="D181" i="4"/>
  <c r="D178" i="4"/>
  <c r="F178" i="4" s="1"/>
  <c r="D176" i="4"/>
  <c r="D175" i="4"/>
  <c r="D172" i="4"/>
  <c r="F172" i="4" s="1"/>
  <c r="G172" i="4" s="1"/>
  <c r="H172" i="4" s="1"/>
  <c r="I172" i="4" s="1"/>
  <c r="C204" i="5" s="1"/>
  <c r="D170" i="4"/>
  <c r="F170" i="4" s="1"/>
  <c r="D168" i="4"/>
  <c r="F168" i="4" s="1"/>
  <c r="D165" i="4"/>
  <c r="D162" i="4"/>
  <c r="F162" i="4" s="1"/>
  <c r="D160" i="4"/>
  <c r="F160" i="4" s="1"/>
  <c r="D158" i="4"/>
  <c r="F158" i="4" s="1"/>
  <c r="D156" i="4"/>
  <c r="F156" i="4" s="1"/>
  <c r="G156" i="4" s="1"/>
  <c r="H156" i="4" s="1"/>
  <c r="I156" i="4" s="1"/>
  <c r="C188" i="5" s="1"/>
  <c r="D153" i="4"/>
  <c r="D152" i="4"/>
  <c r="F152" i="4" s="1"/>
  <c r="D150" i="4"/>
  <c r="F150" i="4" s="1"/>
  <c r="D148" i="4"/>
  <c r="F148" i="4" s="1"/>
  <c r="G148" i="4" s="1"/>
  <c r="H148" i="4" s="1"/>
  <c r="I148" i="4" s="1"/>
  <c r="C180" i="5" s="1"/>
  <c r="D147" i="4"/>
  <c r="D146" i="4"/>
  <c r="D145" i="4"/>
  <c r="D135" i="4"/>
  <c r="F135" i="4" s="1"/>
  <c r="G135" i="4" s="1"/>
  <c r="H135" i="4" s="1"/>
  <c r="I135" i="4" s="1"/>
  <c r="C167" i="5" s="1"/>
  <c r="D134" i="4"/>
  <c r="D133" i="4"/>
  <c r="F133" i="4" s="1"/>
  <c r="D132" i="4"/>
  <c r="D180" i="4"/>
  <c r="F180" i="4" s="1"/>
  <c r="G180" i="4" s="1"/>
  <c r="H180" i="4" s="1"/>
  <c r="I180" i="4" s="1"/>
  <c r="C212" i="5" s="1"/>
  <c r="D253" i="4"/>
  <c r="F253" i="4" s="1"/>
  <c r="G253" i="4" s="1"/>
  <c r="H253" i="4" s="1"/>
  <c r="I253" i="4" s="1"/>
  <c r="C285" i="5" s="1"/>
  <c r="D252" i="4"/>
  <c r="F252" i="4" s="1"/>
  <c r="D250" i="4"/>
  <c r="F250" i="4" s="1"/>
  <c r="D249" i="4"/>
  <c r="F249" i="4" s="1"/>
  <c r="G249" i="4" s="1"/>
  <c r="H249" i="4" s="1"/>
  <c r="I249" i="4" s="1"/>
  <c r="C281" i="5" s="1"/>
  <c r="D248" i="4"/>
  <c r="D247" i="4"/>
  <c r="F247" i="4" s="1"/>
  <c r="G247" i="4" s="1"/>
  <c r="H247" i="4" s="1"/>
  <c r="I247" i="4" s="1"/>
  <c r="C279" i="5" s="1"/>
  <c r="D246" i="4"/>
  <c r="D244" i="4"/>
  <c r="D243" i="4"/>
  <c r="F243" i="4" s="1"/>
  <c r="G243" i="4" s="1"/>
  <c r="H243" i="4" s="1"/>
  <c r="I243" i="4" s="1"/>
  <c r="C275" i="5" s="1"/>
  <c r="D242" i="4"/>
  <c r="D241" i="4"/>
  <c r="F241" i="4" s="1"/>
  <c r="G241" i="4" s="1"/>
  <c r="H241" i="4" s="1"/>
  <c r="I241" i="4" s="1"/>
  <c r="C273" i="5" s="1"/>
  <c r="D240" i="4"/>
  <c r="D238" i="4"/>
  <c r="F238" i="4" s="1"/>
  <c r="G238" i="4" s="1"/>
  <c r="H238" i="4" s="1"/>
  <c r="I238" i="4" s="1"/>
  <c r="C270" i="5" s="1"/>
  <c r="D237" i="4"/>
  <c r="D236" i="4"/>
  <c r="F236" i="4" s="1"/>
  <c r="G236" i="4" s="1"/>
  <c r="H236" i="4" s="1"/>
  <c r="I236" i="4" s="1"/>
  <c r="C268" i="5" s="1"/>
  <c r="D235" i="4"/>
  <c r="D230" i="4"/>
  <c r="D227" i="4"/>
  <c r="F227" i="4" s="1"/>
  <c r="G227" i="4" s="1"/>
  <c r="H227" i="4" s="1"/>
  <c r="I227" i="4" s="1"/>
  <c r="C259" i="5" s="1"/>
  <c r="D226" i="4"/>
  <c r="D225" i="4"/>
  <c r="F225" i="4" s="1"/>
  <c r="G225" i="4" s="1"/>
  <c r="H225" i="4" s="1"/>
  <c r="I225" i="4" s="1"/>
  <c r="C257" i="5" s="1"/>
  <c r="D224" i="4"/>
  <c r="D222" i="4"/>
  <c r="F222" i="4" s="1"/>
  <c r="G222" i="4" s="1"/>
  <c r="H222" i="4" s="1"/>
  <c r="I222" i="4" s="1"/>
  <c r="C254" i="5" s="1"/>
  <c r="D219" i="4"/>
  <c r="D218" i="4"/>
  <c r="F218" i="4" s="1"/>
  <c r="G218" i="4" s="1"/>
  <c r="H218" i="4" s="1"/>
  <c r="I218" i="4" s="1"/>
  <c r="C250" i="5" s="1"/>
  <c r="D217" i="4"/>
  <c r="D216" i="4"/>
  <c r="F216" i="4" s="1"/>
  <c r="G216" i="4" s="1"/>
  <c r="H216" i="4" s="1"/>
  <c r="I216" i="4" s="1"/>
  <c r="C248" i="5" s="1"/>
  <c r="D209" i="4"/>
  <c r="F209" i="4" s="1"/>
  <c r="G209" i="4" s="1"/>
  <c r="H209" i="4" s="1"/>
  <c r="I209" i="4" s="1"/>
  <c r="C241" i="5" s="1"/>
  <c r="D208" i="4"/>
  <c r="D207" i="4"/>
  <c r="D206" i="4"/>
  <c r="F206" i="4" s="1"/>
  <c r="G206" i="4" s="1"/>
  <c r="H206" i="4" s="1"/>
  <c r="I206" i="4" s="1"/>
  <c r="C238" i="5" s="1"/>
  <c r="D205" i="4"/>
  <c r="D491" i="4"/>
  <c r="D489" i="4"/>
  <c r="F489" i="4" s="1"/>
  <c r="G489" i="4" s="1"/>
  <c r="H489" i="4" s="1"/>
  <c r="I489" i="4" s="1"/>
  <c r="D487" i="4"/>
  <c r="D486" i="4"/>
  <c r="D484" i="4"/>
  <c r="F484" i="4" s="1"/>
  <c r="G484" i="4" s="1"/>
  <c r="H484" i="4" s="1"/>
  <c r="I484" i="4" s="1"/>
  <c r="D481" i="4"/>
  <c r="F481" i="4" s="1"/>
  <c r="G481" i="4" s="1"/>
  <c r="H481" i="4" s="1"/>
  <c r="I481" i="4" s="1"/>
  <c r="D479" i="4"/>
  <c r="D476" i="4"/>
  <c r="F476" i="4" s="1"/>
  <c r="G476" i="4" s="1"/>
  <c r="H476" i="4" s="1"/>
  <c r="I476" i="4" s="1"/>
  <c r="D475" i="4"/>
  <c r="D472" i="4"/>
  <c r="F472" i="4" s="1"/>
  <c r="G472" i="4" s="1"/>
  <c r="H472" i="4" s="1"/>
  <c r="I472" i="4" s="1"/>
  <c r="D467" i="4"/>
  <c r="D466" i="4"/>
  <c r="D465" i="4"/>
  <c r="F465" i="4" s="1"/>
  <c r="G465" i="4" s="1"/>
  <c r="H465" i="4" s="1"/>
  <c r="I465" i="4" s="1"/>
  <c r="D463" i="4"/>
  <c r="D462" i="4"/>
  <c r="D461" i="4"/>
  <c r="D459" i="4"/>
  <c r="U453" i="3"/>
  <c r="D424" i="4"/>
  <c r="F424" i="4" s="1"/>
  <c r="G424" i="4" s="1"/>
  <c r="H424" i="4" s="1"/>
  <c r="I424" i="4" s="1"/>
  <c r="C456" i="5" s="1"/>
  <c r="D422" i="4"/>
  <c r="D420" i="4"/>
  <c r="F420" i="4" s="1"/>
  <c r="G420" i="4" s="1"/>
  <c r="H420" i="4" s="1"/>
  <c r="I420" i="4" s="1"/>
  <c r="C452" i="5" s="1"/>
  <c r="D418" i="4"/>
  <c r="F418" i="4" s="1"/>
  <c r="G418" i="4" s="1"/>
  <c r="H418" i="4" s="1"/>
  <c r="I418" i="4" s="1"/>
  <c r="C450" i="5" s="1"/>
  <c r="D416" i="4"/>
  <c r="F416" i="4" s="1"/>
  <c r="G416" i="4" s="1"/>
  <c r="H416" i="4" s="1"/>
  <c r="I416" i="4" s="1"/>
  <c r="C448" i="5" s="1"/>
  <c r="D414" i="4"/>
  <c r="D412" i="4"/>
  <c r="F412" i="4" s="1"/>
  <c r="G412" i="4" s="1"/>
  <c r="H412" i="4" s="1"/>
  <c r="I412" i="4" s="1"/>
  <c r="C444" i="5" s="1"/>
  <c r="D410" i="4"/>
  <c r="F410" i="4" s="1"/>
  <c r="G410" i="4" s="1"/>
  <c r="H410" i="4" s="1"/>
  <c r="I410" i="4" s="1"/>
  <c r="C442" i="5" s="1"/>
  <c r="D408" i="4"/>
  <c r="F408" i="4" s="1"/>
  <c r="G408" i="4" s="1"/>
  <c r="H408" i="4" s="1"/>
  <c r="I408" i="4" s="1"/>
  <c r="C440" i="5" s="1"/>
  <c r="D406" i="4"/>
  <c r="D404" i="4"/>
  <c r="F404" i="4" s="1"/>
  <c r="G404" i="4" s="1"/>
  <c r="H404" i="4" s="1"/>
  <c r="I404" i="4" s="1"/>
  <c r="C436" i="5" s="1"/>
  <c r="D402" i="4"/>
  <c r="F402" i="4" s="1"/>
  <c r="G402" i="4" s="1"/>
  <c r="H402" i="4" s="1"/>
  <c r="I402" i="4" s="1"/>
  <c r="C434" i="5" s="1"/>
  <c r="D400" i="4"/>
  <c r="F400" i="4" s="1"/>
  <c r="G400" i="4" s="1"/>
  <c r="H400" i="4" s="1"/>
  <c r="I400" i="4" s="1"/>
  <c r="C432" i="5" s="1"/>
  <c r="D398" i="4"/>
  <c r="D396" i="4"/>
  <c r="F396" i="4" s="1"/>
  <c r="G396" i="4" s="1"/>
  <c r="H396" i="4" s="1"/>
  <c r="I396" i="4" s="1"/>
  <c r="C428" i="5" s="1"/>
  <c r="D394" i="4"/>
  <c r="F394" i="4" s="1"/>
  <c r="G394" i="4" s="1"/>
  <c r="H394" i="4" s="1"/>
  <c r="I394" i="4" s="1"/>
  <c r="C426" i="5" s="1"/>
  <c r="D392" i="4"/>
  <c r="F392" i="4" s="1"/>
  <c r="G392" i="4" s="1"/>
  <c r="H392" i="4" s="1"/>
  <c r="I392" i="4" s="1"/>
  <c r="C424" i="5" s="1"/>
  <c r="C22" i="5"/>
  <c r="C24" i="5"/>
  <c r="C29" i="5"/>
  <c r="C31" i="5"/>
  <c r="C10" i="5"/>
  <c r="C17" i="5"/>
  <c r="C19" i="5"/>
  <c r="C23" i="5"/>
  <c r="C30" i="5"/>
  <c r="C11" i="5"/>
  <c r="C21" i="5"/>
  <c r="C26" i="5"/>
  <c r="C8" i="5"/>
  <c r="C18" i="5"/>
  <c r="F8" i="5"/>
  <c r="F10" i="5"/>
  <c r="F20" i="5"/>
  <c r="F22" i="5"/>
  <c r="F24" i="5"/>
  <c r="F19" i="5"/>
  <c r="F21" i="5"/>
  <c r="F29" i="5"/>
  <c r="D234" i="4"/>
  <c r="F234" i="4" s="1"/>
  <c r="G234" i="4" s="1"/>
  <c r="H234" i="4" s="1"/>
  <c r="I234" i="4" s="1"/>
  <c r="C266" i="5" s="1"/>
  <c r="D233" i="4"/>
  <c r="D229" i="4"/>
  <c r="F229" i="4" s="1"/>
  <c r="G229" i="4" s="1"/>
  <c r="H229" i="4" s="1"/>
  <c r="I229" i="4" s="1"/>
  <c r="C261" i="5" s="1"/>
  <c r="D215" i="4"/>
  <c r="D192" i="4"/>
  <c r="D164" i="4"/>
  <c r="F164" i="4" s="1"/>
  <c r="G164" i="4" s="1"/>
  <c r="H164" i="4" s="1"/>
  <c r="I164" i="4" s="1"/>
  <c r="C196" i="5" s="1"/>
  <c r="D144" i="4"/>
  <c r="D136" i="4"/>
  <c r="D390" i="4"/>
  <c r="D389" i="4"/>
  <c r="F389" i="4" s="1"/>
  <c r="G389" i="4" s="1"/>
  <c r="H389" i="4" s="1"/>
  <c r="I389" i="4" s="1"/>
  <c r="C421" i="5" s="1"/>
  <c r="D388" i="4"/>
  <c r="F388" i="4" s="1"/>
  <c r="G388" i="4" s="1"/>
  <c r="H388" i="4" s="1"/>
  <c r="I388" i="4" s="1"/>
  <c r="C420" i="5" s="1"/>
  <c r="D387" i="4"/>
  <c r="F387" i="4" s="1"/>
  <c r="G387" i="4" s="1"/>
  <c r="H387" i="4" s="1"/>
  <c r="I387" i="4" s="1"/>
  <c r="C419" i="5" s="1"/>
  <c r="D386" i="4"/>
  <c r="F386" i="4" s="1"/>
  <c r="G386" i="4" s="1"/>
  <c r="H386" i="4" s="1"/>
  <c r="I386" i="4" s="1"/>
  <c r="C418" i="5" s="1"/>
  <c r="D385" i="4"/>
  <c r="F385" i="4" s="1"/>
  <c r="G385" i="4" s="1"/>
  <c r="H385" i="4" s="1"/>
  <c r="I385" i="4" s="1"/>
  <c r="C417" i="5" s="1"/>
  <c r="D383" i="4"/>
  <c r="F383" i="4" s="1"/>
  <c r="G383" i="4" s="1"/>
  <c r="H383" i="4" s="1"/>
  <c r="I383" i="4" s="1"/>
  <c r="C415" i="5" s="1"/>
  <c r="D382" i="4"/>
  <c r="D381" i="4"/>
  <c r="F381" i="4" s="1"/>
  <c r="G381" i="4" s="1"/>
  <c r="H381" i="4" s="1"/>
  <c r="I381" i="4" s="1"/>
  <c r="C413" i="5" s="1"/>
  <c r="D380" i="4"/>
  <c r="F380" i="4" s="1"/>
  <c r="G380" i="4" s="1"/>
  <c r="H380" i="4" s="1"/>
  <c r="I380" i="4" s="1"/>
  <c r="C412" i="5" s="1"/>
  <c r="D379" i="4"/>
  <c r="F379" i="4" s="1"/>
  <c r="G379" i="4" s="1"/>
  <c r="H379" i="4" s="1"/>
  <c r="I379" i="4" s="1"/>
  <c r="C411" i="5" s="1"/>
  <c r="D377" i="4"/>
  <c r="F377" i="4" s="1"/>
  <c r="G377" i="4" s="1"/>
  <c r="H377" i="4" s="1"/>
  <c r="I377" i="4" s="1"/>
  <c r="C409" i="5" s="1"/>
  <c r="D376" i="4"/>
  <c r="F376" i="4" s="1"/>
  <c r="G376" i="4" s="1"/>
  <c r="H376" i="4" s="1"/>
  <c r="I376" i="4" s="1"/>
  <c r="C408" i="5" s="1"/>
  <c r="D375" i="4"/>
  <c r="F375" i="4" s="1"/>
  <c r="G375" i="4" s="1"/>
  <c r="H375" i="4" s="1"/>
  <c r="I375" i="4" s="1"/>
  <c r="C407" i="5" s="1"/>
  <c r="D374" i="4"/>
  <c r="D373" i="4"/>
  <c r="F373" i="4" s="1"/>
  <c r="G373" i="4" s="1"/>
  <c r="H373" i="4" s="1"/>
  <c r="I373" i="4" s="1"/>
  <c r="C405" i="5" s="1"/>
  <c r="D372" i="4"/>
  <c r="F372" i="4" s="1"/>
  <c r="G372" i="4" s="1"/>
  <c r="H372" i="4" s="1"/>
  <c r="I372" i="4" s="1"/>
  <c r="C404" i="5" s="1"/>
  <c r="D371" i="4"/>
  <c r="F371" i="4" s="1"/>
  <c r="G371" i="4" s="1"/>
  <c r="H371" i="4" s="1"/>
  <c r="I371" i="4" s="1"/>
  <c r="C403" i="5" s="1"/>
  <c r="D370" i="4"/>
  <c r="F370" i="4" s="1"/>
  <c r="G370" i="4" s="1"/>
  <c r="H370" i="4" s="1"/>
  <c r="I370" i="4" s="1"/>
  <c r="C402" i="5" s="1"/>
  <c r="D369" i="4"/>
  <c r="F369" i="4" s="1"/>
  <c r="G369" i="4" s="1"/>
  <c r="H369" i="4" s="1"/>
  <c r="I369" i="4" s="1"/>
  <c r="C401" i="5" s="1"/>
  <c r="D367" i="4"/>
  <c r="F367" i="4" s="1"/>
  <c r="G367" i="4" s="1"/>
  <c r="H367" i="4" s="1"/>
  <c r="I367" i="4" s="1"/>
  <c r="C399" i="5" s="1"/>
  <c r="D366" i="4"/>
  <c r="D365" i="4"/>
  <c r="F365" i="4" s="1"/>
  <c r="G365" i="4" s="1"/>
  <c r="H365" i="4" s="1"/>
  <c r="I365" i="4" s="1"/>
  <c r="C397" i="5" s="1"/>
  <c r="D364" i="4"/>
  <c r="F364" i="4" s="1"/>
  <c r="G364" i="4" s="1"/>
  <c r="H364" i="4" s="1"/>
  <c r="I364" i="4" s="1"/>
  <c r="C396" i="5" s="1"/>
  <c r="D363" i="4"/>
  <c r="F363" i="4" s="1"/>
  <c r="G363" i="4" s="1"/>
  <c r="H363" i="4" s="1"/>
  <c r="I363" i="4" s="1"/>
  <c r="C395" i="5" s="1"/>
  <c r="D362" i="4"/>
  <c r="F362" i="4" s="1"/>
  <c r="G362" i="4" s="1"/>
  <c r="H362" i="4" s="1"/>
  <c r="I362" i="4" s="1"/>
  <c r="C394" i="5" s="1"/>
  <c r="D361" i="4"/>
  <c r="F361" i="4" s="1"/>
  <c r="G361" i="4" s="1"/>
  <c r="H361" i="4" s="1"/>
  <c r="I361" i="4" s="1"/>
  <c r="C393" i="5" s="1"/>
  <c r="D360" i="4"/>
  <c r="F360" i="4" s="1"/>
  <c r="G360" i="4" s="1"/>
  <c r="H360" i="4" s="1"/>
  <c r="I360" i="4" s="1"/>
  <c r="C392" i="5" s="1"/>
  <c r="D359" i="4"/>
  <c r="F359" i="4" s="1"/>
  <c r="G359" i="4" s="1"/>
  <c r="H359" i="4" s="1"/>
  <c r="I359" i="4" s="1"/>
  <c r="C391" i="5" s="1"/>
  <c r="D358" i="4"/>
  <c r="D357" i="4"/>
  <c r="F357" i="4" s="1"/>
  <c r="D356" i="4"/>
  <c r="F356" i="4" s="1"/>
  <c r="G356" i="4" s="1"/>
  <c r="H356" i="4" s="1"/>
  <c r="I356" i="4" s="1"/>
  <c r="C388" i="5" s="1"/>
  <c r="D355" i="4"/>
  <c r="F355" i="4" s="1"/>
  <c r="G355" i="4" s="1"/>
  <c r="H355" i="4" s="1"/>
  <c r="I355" i="4" s="1"/>
  <c r="C387" i="5" s="1"/>
  <c r="D354" i="4"/>
  <c r="F354" i="4" s="1"/>
  <c r="G354" i="4" s="1"/>
  <c r="H354" i="4" s="1"/>
  <c r="I354" i="4" s="1"/>
  <c r="C386" i="5" s="1"/>
  <c r="D353" i="4"/>
  <c r="F353" i="4" s="1"/>
  <c r="G353" i="4" s="1"/>
  <c r="H353" i="4" s="1"/>
  <c r="I353" i="4" s="1"/>
  <c r="C385" i="5" s="1"/>
  <c r="D352" i="4"/>
  <c r="F352" i="4" s="1"/>
  <c r="G352" i="4" s="1"/>
  <c r="H352" i="4" s="1"/>
  <c r="I352" i="4" s="1"/>
  <c r="C384" i="5" s="1"/>
  <c r="D351" i="4"/>
  <c r="F351" i="4" s="1"/>
  <c r="G351" i="4" s="1"/>
  <c r="H351" i="4" s="1"/>
  <c r="I351" i="4" s="1"/>
  <c r="C383" i="5" s="1"/>
  <c r="D350" i="4"/>
  <c r="D349" i="4"/>
  <c r="F349" i="4" s="1"/>
  <c r="G349" i="4" s="1"/>
  <c r="H349" i="4" s="1"/>
  <c r="I349" i="4" s="1"/>
  <c r="C381" i="5" s="1"/>
  <c r="D348" i="4"/>
  <c r="F348" i="4" s="1"/>
  <c r="G348" i="4" s="1"/>
  <c r="H348" i="4" s="1"/>
  <c r="I348" i="4" s="1"/>
  <c r="C380" i="5" s="1"/>
  <c r="D347" i="4"/>
  <c r="F347" i="4" s="1"/>
  <c r="G347" i="4" s="1"/>
  <c r="H347" i="4" s="1"/>
  <c r="I347" i="4" s="1"/>
  <c r="C379" i="5" s="1"/>
  <c r="D346" i="4"/>
  <c r="F346" i="4" s="1"/>
  <c r="G346" i="4" s="1"/>
  <c r="H346" i="4" s="1"/>
  <c r="I346" i="4" s="1"/>
  <c r="C378" i="5" s="1"/>
  <c r="D345" i="4"/>
  <c r="F345" i="4" s="1"/>
  <c r="G345" i="4" s="1"/>
  <c r="H345" i="4" s="1"/>
  <c r="I345" i="4" s="1"/>
  <c r="C377" i="5" s="1"/>
  <c r="D344" i="4"/>
  <c r="F344" i="4" s="1"/>
  <c r="G344" i="4" s="1"/>
  <c r="H344" i="4" s="1"/>
  <c r="I344" i="4" s="1"/>
  <c r="C376" i="5" s="1"/>
  <c r="D343" i="4"/>
  <c r="D342" i="4"/>
  <c r="F342" i="4" s="1"/>
  <c r="G342" i="4" s="1"/>
  <c r="H342" i="4" s="1"/>
  <c r="I342" i="4" s="1"/>
  <c r="C374" i="5" s="1"/>
  <c r="D341" i="4"/>
  <c r="D340" i="4"/>
  <c r="F340" i="4" s="1"/>
  <c r="D339" i="4"/>
  <c r="D338" i="4"/>
  <c r="F338" i="4" s="1"/>
  <c r="G338" i="4" s="1"/>
  <c r="H338" i="4" s="1"/>
  <c r="I338" i="4" s="1"/>
  <c r="C370" i="5" s="1"/>
  <c r="D337" i="4"/>
  <c r="D336" i="4"/>
  <c r="F336" i="4" s="1"/>
  <c r="D335" i="4"/>
  <c r="F335" i="4" s="1"/>
  <c r="G335" i="4" s="1"/>
  <c r="H335" i="4" s="1"/>
  <c r="I335" i="4" s="1"/>
  <c r="C367" i="5" s="1"/>
  <c r="D334" i="4"/>
  <c r="F334" i="4" s="1"/>
  <c r="G334" i="4" s="1"/>
  <c r="H334" i="4" s="1"/>
  <c r="I334" i="4" s="1"/>
  <c r="C366" i="5" s="1"/>
  <c r="D333" i="4"/>
  <c r="D332" i="4"/>
  <c r="F332" i="4" s="1"/>
  <c r="D331" i="4"/>
  <c r="D330" i="4"/>
  <c r="F330" i="4" s="1"/>
  <c r="G330" i="4" s="1"/>
  <c r="H330" i="4" s="1"/>
  <c r="I330" i="4" s="1"/>
  <c r="C362" i="5" s="1"/>
  <c r="D329" i="4"/>
  <c r="D328" i="4"/>
  <c r="F328" i="4" s="1"/>
  <c r="D327" i="4"/>
  <c r="D326" i="4"/>
  <c r="F326" i="4" s="1"/>
  <c r="G326" i="4" s="1"/>
  <c r="H326" i="4" s="1"/>
  <c r="I326" i="4" s="1"/>
  <c r="C358" i="5" s="1"/>
  <c r="D325" i="4"/>
  <c r="D324" i="4"/>
  <c r="F324" i="4" s="1"/>
  <c r="D323" i="4"/>
  <c r="F323" i="4" s="1"/>
  <c r="G323" i="4" s="1"/>
  <c r="H323" i="4" s="1"/>
  <c r="I323" i="4" s="1"/>
  <c r="C355" i="5" s="1"/>
  <c r="D322" i="4"/>
  <c r="F322" i="4" s="1"/>
  <c r="G322" i="4" s="1"/>
  <c r="H322" i="4" s="1"/>
  <c r="I322" i="4" s="1"/>
  <c r="C354" i="5" s="1"/>
  <c r="D321" i="4"/>
  <c r="F321" i="4" s="1"/>
  <c r="D320" i="4"/>
  <c r="F320" i="4" s="1"/>
  <c r="D319" i="4"/>
  <c r="F319" i="4" s="1"/>
  <c r="G319" i="4" s="1"/>
  <c r="H319" i="4" s="1"/>
  <c r="I319" i="4" s="1"/>
  <c r="C351" i="5" s="1"/>
  <c r="D318" i="4"/>
  <c r="F318" i="4" s="1"/>
  <c r="G318" i="4" s="1"/>
  <c r="H318" i="4" s="1"/>
  <c r="I318" i="4" s="1"/>
  <c r="C350" i="5" s="1"/>
  <c r="D317" i="4"/>
  <c r="D316" i="4"/>
  <c r="F316" i="4" s="1"/>
  <c r="D315" i="4"/>
  <c r="D314" i="4"/>
  <c r="F314" i="4" s="1"/>
  <c r="G314" i="4" s="1"/>
  <c r="H314" i="4" s="1"/>
  <c r="I314" i="4" s="1"/>
  <c r="C346" i="5" s="1"/>
  <c r="D313" i="4"/>
  <c r="D312" i="4"/>
  <c r="F312" i="4" s="1"/>
  <c r="D311" i="4"/>
  <c r="F311" i="4" s="1"/>
  <c r="G311" i="4" s="1"/>
  <c r="H311" i="4" s="1"/>
  <c r="I311" i="4" s="1"/>
  <c r="C343" i="5" s="1"/>
  <c r="D310" i="4"/>
  <c r="F310" i="4" s="1"/>
  <c r="G310" i="4" s="1"/>
  <c r="H310" i="4" s="1"/>
  <c r="I310" i="4" s="1"/>
  <c r="C342" i="5" s="1"/>
  <c r="D309" i="4"/>
  <c r="D308" i="4"/>
  <c r="F308" i="4" s="1"/>
  <c r="D307" i="4"/>
  <c r="F307" i="4" s="1"/>
  <c r="G307" i="4" s="1"/>
  <c r="H307" i="4" s="1"/>
  <c r="I307" i="4" s="1"/>
  <c r="C339" i="5" s="1"/>
  <c r="D306" i="4"/>
  <c r="F306" i="4" s="1"/>
  <c r="G306" i="4" s="1"/>
  <c r="H306" i="4" s="1"/>
  <c r="I306" i="4" s="1"/>
  <c r="C338" i="5" s="1"/>
  <c r="D305" i="4"/>
  <c r="D304" i="4"/>
  <c r="F304" i="4" s="1"/>
  <c r="D69" i="4"/>
  <c r="F69" i="4" s="1"/>
  <c r="D303" i="4"/>
  <c r="D302" i="4"/>
  <c r="F302" i="4" s="1"/>
  <c r="G302" i="4" s="1"/>
  <c r="H302" i="4" s="1"/>
  <c r="I302" i="4" s="1"/>
  <c r="C334" i="5" s="1"/>
  <c r="D301" i="4"/>
  <c r="F301" i="4" s="1"/>
  <c r="D300" i="4"/>
  <c r="F300" i="4" s="1"/>
  <c r="G300" i="4" s="1"/>
  <c r="H300" i="4" s="1"/>
  <c r="I300" i="4" s="1"/>
  <c r="C332" i="5" s="1"/>
  <c r="D299" i="4"/>
  <c r="D298" i="4"/>
  <c r="F298" i="4" s="1"/>
  <c r="G298" i="4" s="1"/>
  <c r="H298" i="4" s="1"/>
  <c r="I298" i="4" s="1"/>
  <c r="C330" i="5" s="1"/>
  <c r="D297" i="4"/>
  <c r="D296" i="4"/>
  <c r="F296" i="4" s="1"/>
  <c r="D295" i="4"/>
  <c r="F295" i="4" s="1"/>
  <c r="G295" i="4" s="1"/>
  <c r="H295" i="4" s="1"/>
  <c r="I295" i="4" s="1"/>
  <c r="C327" i="5" s="1"/>
  <c r="D294" i="4"/>
  <c r="D293" i="4"/>
  <c r="F293" i="4" s="1"/>
  <c r="G293" i="4" s="1"/>
  <c r="H293" i="4" s="1"/>
  <c r="I293" i="4" s="1"/>
  <c r="C325" i="5" s="1"/>
  <c r="D292" i="4"/>
  <c r="D291" i="4"/>
  <c r="D290" i="4"/>
  <c r="D289" i="4"/>
  <c r="D288" i="4"/>
  <c r="D287" i="4"/>
  <c r="D286" i="4"/>
  <c r="D285" i="4"/>
  <c r="D284" i="4"/>
  <c r="D283" i="4"/>
  <c r="F283" i="4" s="1"/>
  <c r="G283" i="4" s="1"/>
  <c r="H283" i="4" s="1"/>
  <c r="I283" i="4" s="1"/>
  <c r="C315" i="5" s="1"/>
  <c r="D282" i="4"/>
  <c r="D281" i="4"/>
  <c r="D280" i="4"/>
  <c r="D279" i="4"/>
  <c r="D278" i="4"/>
  <c r="D277" i="4"/>
  <c r="F277" i="4" s="1"/>
  <c r="G277" i="4" s="1"/>
  <c r="H277" i="4" s="1"/>
  <c r="I277" i="4" s="1"/>
  <c r="C309" i="5" s="1"/>
  <c r="D276" i="4"/>
  <c r="F276" i="4" s="1"/>
  <c r="D275" i="4"/>
  <c r="D274" i="4"/>
  <c r="F274" i="4" s="1"/>
  <c r="D272" i="4"/>
  <c r="D271" i="4"/>
  <c r="D270" i="4"/>
  <c r="D269" i="4"/>
  <c r="D267" i="4"/>
  <c r="F267" i="4" s="1"/>
  <c r="G267" i="4" s="1"/>
  <c r="H267" i="4" s="1"/>
  <c r="I267" i="4" s="1"/>
  <c r="C299" i="5" s="1"/>
  <c r="D266" i="4"/>
  <c r="D265" i="4"/>
  <c r="D263" i="4"/>
  <c r="D262" i="4"/>
  <c r="D261" i="4"/>
  <c r="D260" i="4"/>
  <c r="D259" i="4"/>
  <c r="F259" i="4" s="1"/>
  <c r="G259" i="4" s="1"/>
  <c r="H259" i="4" s="1"/>
  <c r="I259" i="4" s="1"/>
  <c r="C291" i="5" s="1"/>
  <c r="D258" i="4"/>
  <c r="F258" i="4" s="1"/>
  <c r="D257" i="4"/>
  <c r="F257" i="4" s="1"/>
  <c r="G257" i="4" s="1"/>
  <c r="H257" i="4" s="1"/>
  <c r="I257" i="4" s="1"/>
  <c r="C289" i="5" s="1"/>
  <c r="D256" i="4"/>
  <c r="D77" i="4"/>
  <c r="D75" i="4"/>
  <c r="D74" i="4"/>
  <c r="F74" i="4" s="1"/>
  <c r="G74" i="4" s="1"/>
  <c r="H74" i="4" s="1"/>
  <c r="I74" i="4" s="1"/>
  <c r="C106" i="5" s="1"/>
  <c r="D72" i="4"/>
  <c r="D67" i="4"/>
  <c r="U62" i="3"/>
  <c r="D66" i="4" s="1"/>
  <c r="D76" i="4"/>
  <c r="D73" i="4"/>
  <c r="F73" i="4" s="1"/>
  <c r="G73" i="4" s="1"/>
  <c r="H73" i="4" s="1"/>
  <c r="I73" i="4" s="1"/>
  <c r="C105" i="5" s="1"/>
  <c r="D70" i="4"/>
  <c r="D68" i="4"/>
  <c r="U127" i="3"/>
  <c r="D131" i="4" s="1"/>
  <c r="F131" i="4" s="1"/>
  <c r="U195" i="3"/>
  <c r="D199" i="4" s="1"/>
  <c r="U251" i="3"/>
  <c r="D255" i="4" s="1"/>
  <c r="F255" i="4" s="1"/>
  <c r="G255" i="4" s="1"/>
  <c r="H255" i="4" s="1"/>
  <c r="I255" i="4" s="1"/>
  <c r="C287" i="5" s="1"/>
  <c r="D13" i="4"/>
  <c r="D11" i="4"/>
  <c r="F11" i="4" s="1"/>
  <c r="G11" i="4" s="1"/>
  <c r="H11" i="4" s="1"/>
  <c r="I11" i="4" s="1"/>
  <c r="C43" i="5" s="1"/>
  <c r="D9" i="4"/>
  <c r="F9" i="4" s="1"/>
  <c r="G9" i="4" s="1"/>
  <c r="H9" i="4" s="1"/>
  <c r="I9" i="4" s="1"/>
  <c r="C41" i="5" s="1"/>
  <c r="D7" i="4"/>
  <c r="F7" i="4" s="1"/>
  <c r="G7" i="4" s="1"/>
  <c r="H7" i="4" s="1"/>
  <c r="I7" i="4" s="1"/>
  <c r="C39" i="5" s="1"/>
  <c r="D28" i="4"/>
  <c r="D26" i="4"/>
  <c r="F26" i="4" s="1"/>
  <c r="D24" i="4"/>
  <c r="D22" i="4"/>
  <c r="D20" i="4"/>
  <c r="D18" i="4"/>
  <c r="D16" i="4"/>
  <c r="D63" i="4"/>
  <c r="D61" i="4"/>
  <c r="D58" i="4"/>
  <c r="D55" i="4"/>
  <c r="D53" i="4"/>
  <c r="D51" i="4"/>
  <c r="D49" i="4"/>
  <c r="D47" i="4"/>
  <c r="D45" i="4"/>
  <c r="D43" i="4"/>
  <c r="D40" i="4"/>
  <c r="D38" i="4"/>
  <c r="D36" i="4"/>
  <c r="D34" i="4"/>
  <c r="F34" i="4" s="1"/>
  <c r="D31" i="4"/>
  <c r="F31" i="4" s="1"/>
  <c r="D14" i="4"/>
  <c r="D12" i="4"/>
  <c r="D10" i="4"/>
  <c r="F10" i="4" s="1"/>
  <c r="D29" i="4"/>
  <c r="F29" i="4" s="1"/>
  <c r="D27" i="4"/>
  <c r="D25" i="4"/>
  <c r="F25" i="4" s="1"/>
  <c r="D23" i="4"/>
  <c r="F23" i="4" s="1"/>
  <c r="G23" i="4" s="1"/>
  <c r="H23" i="4" s="1"/>
  <c r="I23" i="4" s="1"/>
  <c r="C55" i="5" s="1"/>
  <c r="D21" i="4"/>
  <c r="D19" i="4"/>
  <c r="F19" i="4" s="1"/>
  <c r="G19" i="4" s="1"/>
  <c r="H19" i="4" s="1"/>
  <c r="I19" i="4" s="1"/>
  <c r="C51" i="5" s="1"/>
  <c r="D17" i="4"/>
  <c r="F17" i="4" s="1"/>
  <c r="G17" i="4" s="1"/>
  <c r="H17" i="4" s="1"/>
  <c r="I17" i="4" s="1"/>
  <c r="C49" i="5" s="1"/>
  <c r="D64" i="4"/>
  <c r="D62" i="4"/>
  <c r="D59" i="4"/>
  <c r="D57" i="4"/>
  <c r="D54" i="4"/>
  <c r="D52" i="4"/>
  <c r="D50" i="4"/>
  <c r="D48" i="4"/>
  <c r="D46" i="4"/>
  <c r="D44" i="4"/>
  <c r="D42" i="4"/>
  <c r="D39" i="4"/>
  <c r="D37" i="4"/>
  <c r="F37" i="4" s="1"/>
  <c r="D35" i="4"/>
  <c r="D33" i="4"/>
  <c r="F33" i="4" s="1"/>
  <c r="F54" i="4" l="1"/>
  <c r="F40" i="4"/>
  <c r="G40" i="4" s="1"/>
  <c r="H40" i="4" s="1"/>
  <c r="I40" i="4" s="1"/>
  <c r="C72" i="5" s="1"/>
  <c r="F58" i="4"/>
  <c r="G58" i="4" s="1"/>
  <c r="H58" i="4" s="1"/>
  <c r="F76" i="4"/>
  <c r="G76" i="4" s="1"/>
  <c r="H76" i="4" s="1"/>
  <c r="I76" i="4" s="1"/>
  <c r="C108" i="5" s="1"/>
  <c r="F260" i="4"/>
  <c r="F270" i="4"/>
  <c r="G270" i="4" s="1"/>
  <c r="H270" i="4" s="1"/>
  <c r="F279" i="4"/>
  <c r="G279" i="4" s="1"/>
  <c r="H279" i="4" s="1"/>
  <c r="I279" i="4" s="1"/>
  <c r="C311" i="5" s="1"/>
  <c r="F287" i="4"/>
  <c r="G287" i="4" s="1"/>
  <c r="H287" i="4" s="1"/>
  <c r="I287" i="4" s="1"/>
  <c r="C319" i="5" s="1"/>
  <c r="F299" i="4"/>
  <c r="G299" i="4" s="1"/>
  <c r="H299" i="4" s="1"/>
  <c r="I299" i="4" s="1"/>
  <c r="C331" i="5" s="1"/>
  <c r="F305" i="4"/>
  <c r="G305" i="4" s="1"/>
  <c r="H305" i="4" s="1"/>
  <c r="I305" i="4" s="1"/>
  <c r="C337" i="5" s="1"/>
  <c r="F313" i="4"/>
  <c r="G313" i="4" s="1"/>
  <c r="H313" i="4" s="1"/>
  <c r="F325" i="4"/>
  <c r="G325" i="4" s="1"/>
  <c r="H325" i="4" s="1"/>
  <c r="F329" i="4"/>
  <c r="G329" i="4" s="1"/>
  <c r="H329" i="4" s="1"/>
  <c r="I329" i="4" s="1"/>
  <c r="C361" i="5" s="1"/>
  <c r="F341" i="4"/>
  <c r="G341" i="4" s="1"/>
  <c r="H341" i="4" s="1"/>
  <c r="F144" i="4"/>
  <c r="G144" i="4" s="1"/>
  <c r="H144" i="4" s="1"/>
  <c r="I144" i="4" s="1"/>
  <c r="C176" i="5" s="1"/>
  <c r="F398" i="4"/>
  <c r="G398" i="4" s="1"/>
  <c r="H398" i="4" s="1"/>
  <c r="I398" i="4" s="1"/>
  <c r="C430" i="5" s="1"/>
  <c r="F414" i="4"/>
  <c r="G414" i="4" s="1"/>
  <c r="H414" i="4" s="1"/>
  <c r="I414" i="4" s="1"/>
  <c r="C446" i="5" s="1"/>
  <c r="F461" i="4"/>
  <c r="G461" i="4" s="1"/>
  <c r="H461" i="4" s="1"/>
  <c r="I461" i="4" s="1"/>
  <c r="F466" i="4"/>
  <c r="G466" i="4" s="1"/>
  <c r="H466" i="4" s="1"/>
  <c r="I466" i="4" s="1"/>
  <c r="D470" i="4"/>
  <c r="F475" i="4"/>
  <c r="G475" i="4" s="1"/>
  <c r="H475" i="4" s="1"/>
  <c r="I475" i="4" s="1"/>
  <c r="F486" i="4"/>
  <c r="G486" i="4" s="1"/>
  <c r="H486" i="4" s="1"/>
  <c r="I486" i="4" s="1"/>
  <c r="F491" i="4"/>
  <c r="G491" i="4" s="1"/>
  <c r="H491" i="4" s="1"/>
  <c r="I491" i="4" s="1"/>
  <c r="D202" i="4"/>
  <c r="F202" i="4" s="1"/>
  <c r="F207" i="4"/>
  <c r="G207" i="4" s="1"/>
  <c r="H207" i="4" s="1"/>
  <c r="I207" i="4" s="1"/>
  <c r="C239" i="5" s="1"/>
  <c r="D210" i="4"/>
  <c r="F219" i="4"/>
  <c r="G219" i="4" s="1"/>
  <c r="H219" i="4" s="1"/>
  <c r="I219" i="4" s="1"/>
  <c r="C251" i="5" s="1"/>
  <c r="F224" i="4"/>
  <c r="G224" i="4" s="1"/>
  <c r="H224" i="4" s="1"/>
  <c r="I224" i="4" s="1"/>
  <c r="C256" i="5" s="1"/>
  <c r="F230" i="4"/>
  <c r="G230" i="4" s="1"/>
  <c r="H230" i="4" s="1"/>
  <c r="I230" i="4" s="1"/>
  <c r="C262" i="5" s="1"/>
  <c r="F237" i="4"/>
  <c r="G237" i="4" s="1"/>
  <c r="H237" i="4" s="1"/>
  <c r="I237" i="4" s="1"/>
  <c r="C269" i="5" s="1"/>
  <c r="F242" i="4"/>
  <c r="G242" i="4" s="1"/>
  <c r="H242" i="4" s="1"/>
  <c r="I242" i="4" s="1"/>
  <c r="C274" i="5" s="1"/>
  <c r="G252" i="4"/>
  <c r="H252" i="4" s="1"/>
  <c r="I252" i="4" s="1"/>
  <c r="C284" i="5" s="1"/>
  <c r="G133" i="4"/>
  <c r="H133" i="4" s="1"/>
  <c r="I133" i="4" s="1"/>
  <c r="C165" i="5" s="1"/>
  <c r="F146" i="4"/>
  <c r="G146" i="4" s="1"/>
  <c r="H146" i="4" s="1"/>
  <c r="G150" i="4"/>
  <c r="H150" i="4" s="1"/>
  <c r="I150" i="4" s="1"/>
  <c r="C182" i="5" s="1"/>
  <c r="G160" i="4"/>
  <c r="H160" i="4" s="1"/>
  <c r="I160" i="4" s="1"/>
  <c r="C192" i="5" s="1"/>
  <c r="F165" i="4"/>
  <c r="G165" i="4" s="1"/>
  <c r="H165" i="4" s="1"/>
  <c r="I165" i="4" s="1"/>
  <c r="C197" i="5" s="1"/>
  <c r="G170" i="4"/>
  <c r="H170" i="4" s="1"/>
  <c r="I170" i="4" s="1"/>
  <c r="C202" i="5" s="1"/>
  <c r="F175" i="4"/>
  <c r="G175" i="4" s="1"/>
  <c r="H175" i="4" s="1"/>
  <c r="D179" i="4"/>
  <c r="F184" i="4"/>
  <c r="G184" i="4" s="1"/>
  <c r="H184" i="4" s="1"/>
  <c r="I184" i="4" s="1"/>
  <c r="C216" i="5" s="1"/>
  <c r="F188" i="4"/>
  <c r="G188" i="4" s="1"/>
  <c r="H188" i="4" s="1"/>
  <c r="I188" i="4" s="1"/>
  <c r="C220" i="5" s="1"/>
  <c r="D194" i="4"/>
  <c r="F39" i="4"/>
  <c r="G39" i="4" s="1"/>
  <c r="H39" i="4" s="1"/>
  <c r="F48" i="4"/>
  <c r="F57" i="4"/>
  <c r="G57" i="4" s="1"/>
  <c r="H57" i="4" s="1"/>
  <c r="G25" i="4"/>
  <c r="H25" i="4" s="1"/>
  <c r="I25" i="4" s="1"/>
  <c r="C57" i="5" s="1"/>
  <c r="G10" i="4"/>
  <c r="H10" i="4" s="1"/>
  <c r="I10" i="4" s="1"/>
  <c r="C42" i="5" s="1"/>
  <c r="G34" i="4"/>
  <c r="H34" i="4" s="1"/>
  <c r="I34" i="4" s="1"/>
  <c r="C66" i="5" s="1"/>
  <c r="F43" i="4"/>
  <c r="F51" i="4"/>
  <c r="G51" i="4" s="1"/>
  <c r="H51" i="4" s="1"/>
  <c r="I51" i="4" s="1"/>
  <c r="C83" i="5" s="1"/>
  <c r="F61" i="4"/>
  <c r="G61" i="4" s="1"/>
  <c r="H61" i="4" s="1"/>
  <c r="F20" i="4"/>
  <c r="G20" i="4" s="1"/>
  <c r="H20" i="4" s="1"/>
  <c r="I20" i="4" s="1"/>
  <c r="C52" i="5" s="1"/>
  <c r="F28" i="4"/>
  <c r="G28" i="4" s="1"/>
  <c r="H28" i="4" s="1"/>
  <c r="I28" i="4" s="1"/>
  <c r="C60" i="5" s="1"/>
  <c r="F13" i="4"/>
  <c r="G13" i="4" s="1"/>
  <c r="H13" i="4" s="1"/>
  <c r="I13" i="4" s="1"/>
  <c r="C45" i="5" s="1"/>
  <c r="F68" i="4"/>
  <c r="G68" i="4" s="1"/>
  <c r="H68" i="4" s="1"/>
  <c r="I68" i="4" s="1"/>
  <c r="C100" i="5" s="1"/>
  <c r="F66" i="4"/>
  <c r="G66" i="4" s="1"/>
  <c r="H66" i="4" s="1"/>
  <c r="I66" i="4" s="1"/>
  <c r="C98" i="5" s="1"/>
  <c r="F261" i="4"/>
  <c r="G261" i="4" s="1"/>
  <c r="H261" i="4" s="1"/>
  <c r="I261" i="4" s="1"/>
  <c r="C293" i="5" s="1"/>
  <c r="F266" i="4"/>
  <c r="F271" i="4"/>
  <c r="G271" i="4" s="1"/>
  <c r="H271" i="4" s="1"/>
  <c r="I271" i="4" s="1"/>
  <c r="C303" i="5" s="1"/>
  <c r="G276" i="4"/>
  <c r="H276" i="4" s="1"/>
  <c r="I276" i="4" s="1"/>
  <c r="C308" i="5" s="1"/>
  <c r="F280" i="4"/>
  <c r="G280" i="4" s="1"/>
  <c r="H280" i="4" s="1"/>
  <c r="I280" i="4" s="1"/>
  <c r="C312" i="5" s="1"/>
  <c r="F284" i="4"/>
  <c r="G284" i="4" s="1"/>
  <c r="H284" i="4" s="1"/>
  <c r="F288" i="4"/>
  <c r="G288" i="4" s="1"/>
  <c r="H288" i="4" s="1"/>
  <c r="I288" i="4" s="1"/>
  <c r="C320" i="5" s="1"/>
  <c r="F292" i="4"/>
  <c r="G292" i="4" s="1"/>
  <c r="H292" i="4" s="1"/>
  <c r="I292" i="4" s="1"/>
  <c r="C324" i="5" s="1"/>
  <c r="G296" i="4"/>
  <c r="H296" i="4" s="1"/>
  <c r="I296" i="4" s="1"/>
  <c r="C328" i="5" s="1"/>
  <c r="G69" i="4"/>
  <c r="H69" i="4" s="1"/>
  <c r="I69" i="4" s="1"/>
  <c r="C101" i="5" s="1"/>
  <c r="F350" i="4"/>
  <c r="G350" i="4" s="1"/>
  <c r="H350" i="4" s="1"/>
  <c r="I350" i="4" s="1"/>
  <c r="C382" i="5" s="1"/>
  <c r="F358" i="4"/>
  <c r="G358" i="4" s="1"/>
  <c r="H358" i="4" s="1"/>
  <c r="I358" i="4" s="1"/>
  <c r="C390" i="5" s="1"/>
  <c r="F366" i="4"/>
  <c r="G366" i="4" s="1"/>
  <c r="H366" i="4" s="1"/>
  <c r="I366" i="4" s="1"/>
  <c r="C398" i="5" s="1"/>
  <c r="F233" i="4"/>
  <c r="G233" i="4" s="1"/>
  <c r="H233" i="4" s="1"/>
  <c r="I233" i="4" s="1"/>
  <c r="C265" i="5" s="1"/>
  <c r="D391" i="4"/>
  <c r="F391" i="4" s="1"/>
  <c r="G391" i="4" s="1"/>
  <c r="H391" i="4" s="1"/>
  <c r="I391" i="4" s="1"/>
  <c r="C423" i="5" s="1"/>
  <c r="D395" i="4"/>
  <c r="F395" i="4" s="1"/>
  <c r="G395" i="4" s="1"/>
  <c r="H395" i="4" s="1"/>
  <c r="I395" i="4" s="1"/>
  <c r="C427" i="5" s="1"/>
  <c r="D399" i="4"/>
  <c r="F399" i="4" s="1"/>
  <c r="G399" i="4" s="1"/>
  <c r="H399" i="4" s="1"/>
  <c r="I399" i="4" s="1"/>
  <c r="C431" i="5" s="1"/>
  <c r="D403" i="4"/>
  <c r="F403" i="4" s="1"/>
  <c r="G403" i="4" s="1"/>
  <c r="H403" i="4" s="1"/>
  <c r="I403" i="4" s="1"/>
  <c r="C435" i="5" s="1"/>
  <c r="D407" i="4"/>
  <c r="F407" i="4" s="1"/>
  <c r="G407" i="4" s="1"/>
  <c r="H407" i="4" s="1"/>
  <c r="I407" i="4" s="1"/>
  <c r="C439" i="5" s="1"/>
  <c r="D411" i="4"/>
  <c r="F411" i="4" s="1"/>
  <c r="G411" i="4" s="1"/>
  <c r="H411" i="4" s="1"/>
  <c r="I411" i="4" s="1"/>
  <c r="C443" i="5" s="1"/>
  <c r="D415" i="4"/>
  <c r="F415" i="4" s="1"/>
  <c r="G415" i="4" s="1"/>
  <c r="H415" i="4" s="1"/>
  <c r="I415" i="4" s="1"/>
  <c r="C447" i="5" s="1"/>
  <c r="D419" i="4"/>
  <c r="F419" i="4" s="1"/>
  <c r="G419" i="4" s="1"/>
  <c r="H419" i="4" s="1"/>
  <c r="I419" i="4" s="1"/>
  <c r="C451" i="5" s="1"/>
  <c r="D423" i="4"/>
  <c r="F423" i="4" s="1"/>
  <c r="G423" i="4" s="1"/>
  <c r="H423" i="4" s="1"/>
  <c r="I423" i="4" s="1"/>
  <c r="C455" i="5" s="1"/>
  <c r="D458" i="4"/>
  <c r="F6" i="5" s="1"/>
  <c r="F462" i="4"/>
  <c r="G462" i="4" s="1"/>
  <c r="H462" i="4" s="1"/>
  <c r="I462" i="4" s="1"/>
  <c r="F467" i="4"/>
  <c r="G467" i="4" s="1"/>
  <c r="H467" i="4" s="1"/>
  <c r="I467" i="4" s="1"/>
  <c r="D471" i="4"/>
  <c r="D482" i="4"/>
  <c r="F30" i="5" s="1"/>
  <c r="F487" i="4"/>
  <c r="G487" i="4" s="1"/>
  <c r="H487" i="4" s="1"/>
  <c r="I487" i="4" s="1"/>
  <c r="D492" i="4"/>
  <c r="F492" i="4" s="1"/>
  <c r="G492" i="4" s="1"/>
  <c r="H492" i="4" s="1"/>
  <c r="I492" i="4" s="1"/>
  <c r="D203" i="4"/>
  <c r="F208" i="4"/>
  <c r="G208" i="4" s="1"/>
  <c r="H208" i="4" s="1"/>
  <c r="I208" i="4" s="1"/>
  <c r="C240" i="5" s="1"/>
  <c r="D221" i="4"/>
  <c r="D231" i="4"/>
  <c r="F231" i="4" s="1"/>
  <c r="G231" i="4" s="1"/>
  <c r="H231" i="4" s="1"/>
  <c r="I231" i="4" s="1"/>
  <c r="C263" i="5" s="1"/>
  <c r="F248" i="4"/>
  <c r="F134" i="4"/>
  <c r="G134" i="4" s="1"/>
  <c r="H134" i="4" s="1"/>
  <c r="I134" i="4" s="1"/>
  <c r="C166" i="5" s="1"/>
  <c r="F147" i="4"/>
  <c r="G147" i="4" s="1"/>
  <c r="H147" i="4" s="1"/>
  <c r="I147" i="4" s="1"/>
  <c r="C179" i="5" s="1"/>
  <c r="G152" i="4"/>
  <c r="H152" i="4" s="1"/>
  <c r="I152" i="4" s="1"/>
  <c r="C184" i="5" s="1"/>
  <c r="D157" i="4"/>
  <c r="D161" i="4"/>
  <c r="D167" i="4"/>
  <c r="D171" i="4"/>
  <c r="F176" i="4"/>
  <c r="G176" i="4" s="1"/>
  <c r="H176" i="4" s="1"/>
  <c r="I176" i="4" s="1"/>
  <c r="C208" i="5" s="1"/>
  <c r="F181" i="4"/>
  <c r="G181" i="4" s="1"/>
  <c r="H181" i="4" s="1"/>
  <c r="I181" i="4" s="1"/>
  <c r="C213" i="5" s="1"/>
  <c r="D185" i="4"/>
  <c r="D190" i="4"/>
  <c r="D195" i="4"/>
  <c r="I97" i="4"/>
  <c r="C129" i="5" s="1"/>
  <c r="I106" i="4"/>
  <c r="C138" i="5" s="1"/>
  <c r="I114" i="4"/>
  <c r="C146" i="5" s="1"/>
  <c r="I124" i="4"/>
  <c r="C156" i="5" s="1"/>
  <c r="I107" i="4"/>
  <c r="C139" i="5" s="1"/>
  <c r="I92" i="4"/>
  <c r="C124" i="5" s="1"/>
  <c r="I101" i="4"/>
  <c r="C133" i="5" s="1"/>
  <c r="I109" i="4"/>
  <c r="C141" i="5" s="1"/>
  <c r="I116" i="4"/>
  <c r="C148" i="5" s="1"/>
  <c r="I94" i="4"/>
  <c r="C126" i="5" s="1"/>
  <c r="I115" i="4"/>
  <c r="C147" i="5" s="1"/>
  <c r="G91" i="4"/>
  <c r="H91" i="4" s="1"/>
  <c r="I91" i="4" s="1"/>
  <c r="C123" i="5" s="1"/>
  <c r="I99" i="4"/>
  <c r="C131" i="5" s="1"/>
  <c r="I112" i="4"/>
  <c r="C144" i="5" s="1"/>
  <c r="F46" i="4"/>
  <c r="G46" i="4" s="1"/>
  <c r="H46" i="4" s="1"/>
  <c r="I46" i="4" s="1"/>
  <c r="C78" i="5" s="1"/>
  <c r="G31" i="4"/>
  <c r="H31" i="4" s="1"/>
  <c r="I31" i="4" s="1"/>
  <c r="C63" i="5" s="1"/>
  <c r="F18" i="4"/>
  <c r="G18" i="4" s="1"/>
  <c r="H18" i="4" s="1"/>
  <c r="F72" i="4"/>
  <c r="G72" i="4" s="1"/>
  <c r="H72" i="4" s="1"/>
  <c r="I72" i="4" s="1"/>
  <c r="C104" i="5" s="1"/>
  <c r="F275" i="4"/>
  <c r="G275" i="4" s="1"/>
  <c r="H275" i="4" s="1"/>
  <c r="I275" i="4" s="1"/>
  <c r="C307" i="5" s="1"/>
  <c r="F317" i="4"/>
  <c r="F337" i="4"/>
  <c r="G337" i="4" s="1"/>
  <c r="H337" i="4" s="1"/>
  <c r="G357" i="4"/>
  <c r="H357" i="4" s="1"/>
  <c r="I357" i="4" s="1"/>
  <c r="C389" i="5" s="1"/>
  <c r="F42" i="4"/>
  <c r="G42" i="4" s="1"/>
  <c r="H42" i="4" s="1"/>
  <c r="F59" i="4"/>
  <c r="G59" i="4" s="1"/>
  <c r="H59" i="4" s="1"/>
  <c r="F12" i="4"/>
  <c r="G12" i="4" s="1"/>
  <c r="H12" i="4" s="1"/>
  <c r="F53" i="4"/>
  <c r="G53" i="4" s="1"/>
  <c r="H53" i="4" s="1"/>
  <c r="I53" i="4" s="1"/>
  <c r="C85" i="5" s="1"/>
  <c r="F75" i="4"/>
  <c r="G75" i="4" s="1"/>
  <c r="H75" i="4" s="1"/>
  <c r="I75" i="4" s="1"/>
  <c r="C107" i="5" s="1"/>
  <c r="F281" i="4"/>
  <c r="G281" i="4" s="1"/>
  <c r="H281" i="4" s="1"/>
  <c r="I281" i="4" s="1"/>
  <c r="C313" i="5" s="1"/>
  <c r="F331" i="4"/>
  <c r="G331" i="4" s="1"/>
  <c r="H331" i="4" s="1"/>
  <c r="I331" i="4" s="1"/>
  <c r="C363" i="5" s="1"/>
  <c r="F343" i="4"/>
  <c r="G343" i="4" s="1"/>
  <c r="H343" i="4" s="1"/>
  <c r="I343" i="4" s="1"/>
  <c r="C375" i="5" s="1"/>
  <c r="F390" i="4"/>
  <c r="G390" i="4" s="1"/>
  <c r="H390" i="4" s="1"/>
  <c r="I390" i="4" s="1"/>
  <c r="C422" i="5" s="1"/>
  <c r="F192" i="4"/>
  <c r="G192" i="4" s="1"/>
  <c r="H192" i="4" s="1"/>
  <c r="I192" i="4" s="1"/>
  <c r="C224" i="5" s="1"/>
  <c r="F459" i="4"/>
  <c r="G459" i="4" s="1"/>
  <c r="H459" i="4" s="1"/>
  <c r="I459" i="4" s="1"/>
  <c r="F463" i="4"/>
  <c r="G463" i="4" s="1"/>
  <c r="H463" i="4" s="1"/>
  <c r="I463" i="4" s="1"/>
  <c r="D468" i="4"/>
  <c r="F468" i="4" s="1"/>
  <c r="G468" i="4" s="1"/>
  <c r="H468" i="4" s="1"/>
  <c r="I468" i="4" s="1"/>
  <c r="D478" i="4"/>
  <c r="F27" i="5" s="1"/>
  <c r="D200" i="4"/>
  <c r="F200" i="4" s="1"/>
  <c r="G200" i="4" s="1"/>
  <c r="H200" i="4" s="1"/>
  <c r="I200" i="4" s="1"/>
  <c r="C232" i="5" s="1"/>
  <c r="F205" i="4"/>
  <c r="G205" i="4" s="1"/>
  <c r="H205" i="4" s="1"/>
  <c r="I205" i="4" s="1"/>
  <c r="C237" i="5" s="1"/>
  <c r="F217" i="4"/>
  <c r="G217" i="4" s="1"/>
  <c r="H217" i="4" s="1"/>
  <c r="I217" i="4" s="1"/>
  <c r="C249" i="5" s="1"/>
  <c r="F226" i="4"/>
  <c r="G226" i="4" s="1"/>
  <c r="H226" i="4" s="1"/>
  <c r="I226" i="4" s="1"/>
  <c r="C258" i="5" s="1"/>
  <c r="F235" i="4"/>
  <c r="G235" i="4" s="1"/>
  <c r="H235" i="4" s="1"/>
  <c r="I235" i="4" s="1"/>
  <c r="C267" i="5" s="1"/>
  <c r="F240" i="4"/>
  <c r="G240" i="4" s="1"/>
  <c r="H240" i="4" s="1"/>
  <c r="I240" i="4" s="1"/>
  <c r="C272" i="5" s="1"/>
  <c r="F244" i="4"/>
  <c r="G244" i="4" s="1"/>
  <c r="H244" i="4" s="1"/>
  <c r="F153" i="4"/>
  <c r="G153" i="4" s="1"/>
  <c r="H153" i="4" s="1"/>
  <c r="I153" i="4" s="1"/>
  <c r="C185" i="5" s="1"/>
  <c r="G158" i="4"/>
  <c r="H158" i="4" s="1"/>
  <c r="I158" i="4" s="1"/>
  <c r="C190" i="5" s="1"/>
  <c r="G162" i="4"/>
  <c r="H162" i="4" s="1"/>
  <c r="I162" i="4" s="1"/>
  <c r="C194" i="5" s="1"/>
  <c r="G168" i="4"/>
  <c r="H168" i="4" s="1"/>
  <c r="I168" i="4" s="1"/>
  <c r="C200" i="5" s="1"/>
  <c r="D177" i="4"/>
  <c r="F177" i="4" s="1"/>
  <c r="G177" i="4" s="1"/>
  <c r="H177" i="4" s="1"/>
  <c r="I177" i="4" s="1"/>
  <c r="C209" i="5" s="1"/>
  <c r="F182" i="4"/>
  <c r="G182" i="4" s="1"/>
  <c r="H182" i="4" s="1"/>
  <c r="I182" i="4" s="1"/>
  <c r="C214" i="5" s="1"/>
  <c r="D186" i="4"/>
  <c r="D191" i="4"/>
  <c r="D196" i="4"/>
  <c r="F196" i="4" s="1"/>
  <c r="G196" i="4" s="1"/>
  <c r="H196" i="4" s="1"/>
  <c r="I196" i="4" s="1"/>
  <c r="C228" i="5" s="1"/>
  <c r="G37" i="4"/>
  <c r="H37" i="4" s="1"/>
  <c r="I37" i="4" s="1"/>
  <c r="C69" i="5" s="1"/>
  <c r="F64" i="4"/>
  <c r="G64" i="4" s="1"/>
  <c r="H64" i="4" s="1"/>
  <c r="I64" i="4" s="1"/>
  <c r="C96" i="5" s="1"/>
  <c r="F8" i="4"/>
  <c r="G8" i="4" s="1"/>
  <c r="H8" i="4" s="1"/>
  <c r="I8" i="4" s="1"/>
  <c r="C40" i="5" s="1"/>
  <c r="F49" i="4"/>
  <c r="G26" i="4"/>
  <c r="H26" i="4" s="1"/>
  <c r="I26" i="4" s="1"/>
  <c r="C58" i="5" s="1"/>
  <c r="G131" i="4"/>
  <c r="H131" i="4" s="1"/>
  <c r="I131" i="4" s="1"/>
  <c r="C163" i="5" s="1"/>
  <c r="F256" i="4"/>
  <c r="G256" i="4" s="1"/>
  <c r="H256" i="4" s="1"/>
  <c r="F265" i="4"/>
  <c r="G265" i="4" s="1"/>
  <c r="H265" i="4" s="1"/>
  <c r="I265" i="4" s="1"/>
  <c r="C297" i="5" s="1"/>
  <c r="F291" i="4"/>
  <c r="G291" i="4" s="1"/>
  <c r="H291" i="4" s="1"/>
  <c r="I291" i="4" s="1"/>
  <c r="C323" i="5" s="1"/>
  <c r="F303" i="4"/>
  <c r="G303" i="4" s="1"/>
  <c r="H303" i="4" s="1"/>
  <c r="I303" i="4" s="1"/>
  <c r="C335" i="5" s="1"/>
  <c r="F309" i="4"/>
  <c r="G309" i="4" s="1"/>
  <c r="H309" i="4" s="1"/>
  <c r="G321" i="4"/>
  <c r="H321" i="4" s="1"/>
  <c r="I321" i="4" s="1"/>
  <c r="C353" i="5" s="1"/>
  <c r="F333" i="4"/>
  <c r="G333" i="4" s="1"/>
  <c r="H333" i="4" s="1"/>
  <c r="F374" i="4"/>
  <c r="G374" i="4" s="1"/>
  <c r="H374" i="4" s="1"/>
  <c r="I374" i="4" s="1"/>
  <c r="C406" i="5" s="1"/>
  <c r="F406" i="4"/>
  <c r="G406" i="4" s="1"/>
  <c r="H406" i="4" s="1"/>
  <c r="I406" i="4" s="1"/>
  <c r="C438" i="5" s="1"/>
  <c r="F422" i="4"/>
  <c r="G422" i="4" s="1"/>
  <c r="H422" i="4" s="1"/>
  <c r="I422" i="4" s="1"/>
  <c r="C454" i="5" s="1"/>
  <c r="G33" i="4"/>
  <c r="H33" i="4" s="1"/>
  <c r="I33" i="4" s="1"/>
  <c r="C65" i="5" s="1"/>
  <c r="F50" i="4"/>
  <c r="F27" i="4"/>
  <c r="G27" i="4" s="1"/>
  <c r="H27" i="4" s="1"/>
  <c r="F36" i="4"/>
  <c r="F45" i="4"/>
  <c r="G45" i="4" s="1"/>
  <c r="H45" i="4" s="1"/>
  <c r="F63" i="4"/>
  <c r="F22" i="4"/>
  <c r="G22" i="4" s="1"/>
  <c r="H22" i="4" s="1"/>
  <c r="F70" i="4"/>
  <c r="G70" i="4" s="1"/>
  <c r="H70" i="4" s="1"/>
  <c r="G258" i="4"/>
  <c r="H258" i="4" s="1"/>
  <c r="I258" i="4" s="1"/>
  <c r="C290" i="5" s="1"/>
  <c r="F262" i="4"/>
  <c r="G262" i="4" s="1"/>
  <c r="H262" i="4" s="1"/>
  <c r="F272" i="4"/>
  <c r="G272" i="4" s="1"/>
  <c r="H272" i="4" s="1"/>
  <c r="I272" i="4" s="1"/>
  <c r="C304" i="5" s="1"/>
  <c r="F285" i="4"/>
  <c r="G285" i="4" s="1"/>
  <c r="H285" i="4" s="1"/>
  <c r="I285" i="4" s="1"/>
  <c r="C317" i="5" s="1"/>
  <c r="F289" i="4"/>
  <c r="G289" i="4" s="1"/>
  <c r="H289" i="4" s="1"/>
  <c r="I289" i="4" s="1"/>
  <c r="C321" i="5" s="1"/>
  <c r="F297" i="4"/>
  <c r="G301" i="4"/>
  <c r="H301" i="4" s="1"/>
  <c r="I301" i="4" s="1"/>
  <c r="C333" i="5" s="1"/>
  <c r="F315" i="4"/>
  <c r="G315" i="4" s="1"/>
  <c r="H315" i="4" s="1"/>
  <c r="I315" i="4" s="1"/>
  <c r="C347" i="5" s="1"/>
  <c r="F327" i="4"/>
  <c r="G327" i="4" s="1"/>
  <c r="H327" i="4" s="1"/>
  <c r="I327" i="4" s="1"/>
  <c r="C359" i="5" s="1"/>
  <c r="F339" i="4"/>
  <c r="G339" i="4" s="1"/>
  <c r="H339" i="4" s="1"/>
  <c r="I339" i="4" s="1"/>
  <c r="C371" i="5" s="1"/>
  <c r="F35" i="4"/>
  <c r="F44" i="4"/>
  <c r="F52" i="4"/>
  <c r="G52" i="4" s="1"/>
  <c r="H52" i="4" s="1"/>
  <c r="I52" i="4" s="1"/>
  <c r="C84" i="5" s="1"/>
  <c r="F62" i="4"/>
  <c r="G62" i="4" s="1"/>
  <c r="H62" i="4" s="1"/>
  <c r="I62" i="4" s="1"/>
  <c r="C94" i="5" s="1"/>
  <c r="F21" i="4"/>
  <c r="G21" i="4" s="1"/>
  <c r="H21" i="4" s="1"/>
  <c r="G29" i="4"/>
  <c r="H29" i="4" s="1"/>
  <c r="I29" i="4" s="1"/>
  <c r="C61" i="5" s="1"/>
  <c r="F14" i="4"/>
  <c r="G14" i="4" s="1"/>
  <c r="H14" i="4" s="1"/>
  <c r="F38" i="4"/>
  <c r="G38" i="4" s="1"/>
  <c r="H38" i="4" s="1"/>
  <c r="F47" i="4"/>
  <c r="F55" i="4"/>
  <c r="F16" i="4"/>
  <c r="G16" i="4" s="1"/>
  <c r="H16" i="4" s="1"/>
  <c r="I16" i="4" s="1"/>
  <c r="C48" i="5" s="1"/>
  <c r="F24" i="4"/>
  <c r="G24" i="4" s="1"/>
  <c r="H24" i="4" s="1"/>
  <c r="I24" i="4" s="1"/>
  <c r="C56" i="5" s="1"/>
  <c r="F199" i="4"/>
  <c r="G199" i="4" s="1"/>
  <c r="H199" i="4" s="1"/>
  <c r="I199" i="4" s="1"/>
  <c r="C231" i="5" s="1"/>
  <c r="F67" i="4"/>
  <c r="F77" i="4"/>
  <c r="G77" i="4" s="1"/>
  <c r="H77" i="4" s="1"/>
  <c r="I77" i="4" s="1"/>
  <c r="C109" i="5" s="1"/>
  <c r="F263" i="4"/>
  <c r="G263" i="4" s="1"/>
  <c r="H263" i="4" s="1"/>
  <c r="I263" i="4" s="1"/>
  <c r="C295" i="5" s="1"/>
  <c r="F269" i="4"/>
  <c r="G269" i="4" s="1"/>
  <c r="H269" i="4" s="1"/>
  <c r="I269" i="4" s="1"/>
  <c r="C301" i="5" s="1"/>
  <c r="G274" i="4"/>
  <c r="H274" i="4" s="1"/>
  <c r="I274" i="4" s="1"/>
  <c r="C306" i="5" s="1"/>
  <c r="F278" i="4"/>
  <c r="G278" i="4" s="1"/>
  <c r="H278" i="4" s="1"/>
  <c r="F282" i="4"/>
  <c r="F286" i="4"/>
  <c r="F290" i="4"/>
  <c r="F294" i="4"/>
  <c r="G294" i="4" s="1"/>
  <c r="H294" i="4" s="1"/>
  <c r="I294" i="4" s="1"/>
  <c r="C326" i="5" s="1"/>
  <c r="G304" i="4"/>
  <c r="H304" i="4" s="1"/>
  <c r="I304" i="4" s="1"/>
  <c r="C336" i="5" s="1"/>
  <c r="G308" i="4"/>
  <c r="H308" i="4" s="1"/>
  <c r="I308" i="4" s="1"/>
  <c r="C340" i="5" s="1"/>
  <c r="G312" i="4"/>
  <c r="H312" i="4" s="1"/>
  <c r="I312" i="4" s="1"/>
  <c r="C344" i="5" s="1"/>
  <c r="G316" i="4"/>
  <c r="H316" i="4" s="1"/>
  <c r="I316" i="4" s="1"/>
  <c r="C348" i="5" s="1"/>
  <c r="G320" i="4"/>
  <c r="H320" i="4" s="1"/>
  <c r="I320" i="4" s="1"/>
  <c r="C352" i="5" s="1"/>
  <c r="G324" i="4"/>
  <c r="H324" i="4" s="1"/>
  <c r="I324" i="4" s="1"/>
  <c r="C356" i="5" s="1"/>
  <c r="G328" i="4"/>
  <c r="H328" i="4" s="1"/>
  <c r="I328" i="4" s="1"/>
  <c r="C360" i="5" s="1"/>
  <c r="G332" i="4"/>
  <c r="H332" i="4" s="1"/>
  <c r="I332" i="4" s="1"/>
  <c r="C364" i="5" s="1"/>
  <c r="G336" i="4"/>
  <c r="H336" i="4" s="1"/>
  <c r="I336" i="4" s="1"/>
  <c r="C368" i="5" s="1"/>
  <c r="G340" i="4"/>
  <c r="H340" i="4" s="1"/>
  <c r="I340" i="4" s="1"/>
  <c r="C372" i="5" s="1"/>
  <c r="F382" i="4"/>
  <c r="G382" i="4" s="1"/>
  <c r="H382" i="4" s="1"/>
  <c r="I382" i="4" s="1"/>
  <c r="C414" i="5" s="1"/>
  <c r="F136" i="4"/>
  <c r="G136" i="4" s="1"/>
  <c r="H136" i="4" s="1"/>
  <c r="I136" i="4" s="1"/>
  <c r="C168" i="5" s="1"/>
  <c r="F215" i="4"/>
  <c r="G215" i="4" s="1"/>
  <c r="H215" i="4" s="1"/>
  <c r="I215" i="4" s="1"/>
  <c r="C247" i="5" s="1"/>
  <c r="D393" i="4"/>
  <c r="F393" i="4" s="1"/>
  <c r="G393" i="4" s="1"/>
  <c r="H393" i="4" s="1"/>
  <c r="I393" i="4" s="1"/>
  <c r="C425" i="5" s="1"/>
  <c r="D397" i="4"/>
  <c r="F397" i="4" s="1"/>
  <c r="G397" i="4" s="1"/>
  <c r="H397" i="4" s="1"/>
  <c r="I397" i="4" s="1"/>
  <c r="C429" i="5" s="1"/>
  <c r="D401" i="4"/>
  <c r="F401" i="4" s="1"/>
  <c r="G401" i="4" s="1"/>
  <c r="H401" i="4" s="1"/>
  <c r="I401" i="4" s="1"/>
  <c r="C433" i="5" s="1"/>
  <c r="D405" i="4"/>
  <c r="F405" i="4" s="1"/>
  <c r="G405" i="4" s="1"/>
  <c r="H405" i="4" s="1"/>
  <c r="I405" i="4" s="1"/>
  <c r="C437" i="5" s="1"/>
  <c r="D409" i="4"/>
  <c r="F409" i="4" s="1"/>
  <c r="G409" i="4" s="1"/>
  <c r="H409" i="4" s="1"/>
  <c r="I409" i="4" s="1"/>
  <c r="C441" i="5" s="1"/>
  <c r="D413" i="4"/>
  <c r="F413" i="4" s="1"/>
  <c r="G413" i="4" s="1"/>
  <c r="H413" i="4" s="1"/>
  <c r="I413" i="4" s="1"/>
  <c r="C445" i="5" s="1"/>
  <c r="D417" i="4"/>
  <c r="F417" i="4" s="1"/>
  <c r="G417" i="4" s="1"/>
  <c r="H417" i="4" s="1"/>
  <c r="I417" i="4" s="1"/>
  <c r="C449" i="5" s="1"/>
  <c r="D421" i="4"/>
  <c r="F421" i="4" s="1"/>
  <c r="G421" i="4" s="1"/>
  <c r="H421" i="4" s="1"/>
  <c r="I421" i="4" s="1"/>
  <c r="C453" i="5" s="1"/>
  <c r="D425" i="4"/>
  <c r="F425" i="4" s="1"/>
  <c r="G425" i="4" s="1"/>
  <c r="H425" i="4" s="1"/>
  <c r="I425" i="4" s="1"/>
  <c r="C457" i="5" s="1"/>
  <c r="D460" i="4"/>
  <c r="F460" i="4" s="1"/>
  <c r="G460" i="4" s="1"/>
  <c r="H460" i="4" s="1"/>
  <c r="I460" i="4" s="1"/>
  <c r="D469" i="4"/>
  <c r="D473" i="4"/>
  <c r="F473" i="4" s="1"/>
  <c r="G473" i="4" s="1"/>
  <c r="H473" i="4" s="1"/>
  <c r="I473" i="4" s="1"/>
  <c r="F479" i="4"/>
  <c r="G479" i="4" s="1"/>
  <c r="H479" i="4" s="1"/>
  <c r="I479" i="4" s="1"/>
  <c r="D485" i="4"/>
  <c r="F35" i="5" s="1"/>
  <c r="D490" i="4"/>
  <c r="F34" i="5" s="1"/>
  <c r="D201" i="4"/>
  <c r="D223" i="4"/>
  <c r="F246" i="4"/>
  <c r="G246" i="4" s="1"/>
  <c r="H246" i="4" s="1"/>
  <c r="I246" i="4" s="1"/>
  <c r="C278" i="5" s="1"/>
  <c r="G250" i="4"/>
  <c r="H250" i="4" s="1"/>
  <c r="I250" i="4" s="1"/>
  <c r="C282" i="5" s="1"/>
  <c r="F132" i="4"/>
  <c r="F145" i="4"/>
  <c r="G145" i="4" s="1"/>
  <c r="H145" i="4" s="1"/>
  <c r="I145" i="4" s="1"/>
  <c r="C177" i="5" s="1"/>
  <c r="D149" i="4"/>
  <c r="D155" i="4"/>
  <c r="D159" i="4"/>
  <c r="D163" i="4"/>
  <c r="D169" i="4"/>
  <c r="G174" i="4"/>
  <c r="H174" i="4" s="1"/>
  <c r="I174" i="4" s="1"/>
  <c r="C206" i="5" s="1"/>
  <c r="G178" i="4"/>
  <c r="H178" i="4" s="1"/>
  <c r="I178" i="4" s="1"/>
  <c r="C210" i="5" s="1"/>
  <c r="F183" i="4"/>
  <c r="G183" i="4" s="1"/>
  <c r="H183" i="4" s="1"/>
  <c r="F187" i="4"/>
  <c r="G187" i="4" s="1"/>
  <c r="H187" i="4" s="1"/>
  <c r="I187" i="4" s="1"/>
  <c r="C219" i="5" s="1"/>
  <c r="F197" i="4"/>
  <c r="G197" i="4" s="1"/>
  <c r="H197" i="4" s="1"/>
  <c r="I197" i="4" s="1"/>
  <c r="C229" i="5" s="1"/>
  <c r="I102" i="4"/>
  <c r="C134" i="5" s="1"/>
  <c r="I110" i="4"/>
  <c r="C142" i="5" s="1"/>
  <c r="I128" i="4"/>
  <c r="C160" i="5" s="1"/>
  <c r="I98" i="4"/>
  <c r="C130" i="5" s="1"/>
  <c r="I120" i="4"/>
  <c r="C152" i="5" s="1"/>
  <c r="I96" i="4"/>
  <c r="C128" i="5" s="1"/>
  <c r="I105" i="4"/>
  <c r="C137" i="5" s="1"/>
  <c r="I113" i="4"/>
  <c r="C145" i="5" s="1"/>
  <c r="I108" i="4"/>
  <c r="C140" i="5" s="1"/>
  <c r="I103" i="4"/>
  <c r="C135" i="5" s="1"/>
  <c r="I87" i="4"/>
  <c r="C119" i="5" s="1"/>
  <c r="I95" i="4"/>
  <c r="C127" i="5" s="1"/>
  <c r="I104" i="4"/>
  <c r="C136" i="5" s="1"/>
  <c r="I111" i="4"/>
  <c r="C143" i="5" s="1"/>
  <c r="F12" i="5"/>
  <c r="F13" i="5"/>
  <c r="F36" i="5"/>
  <c r="F9" i="5"/>
  <c r="F25" i="5"/>
  <c r="F28" i="5"/>
  <c r="F32" i="5"/>
  <c r="F26" i="5"/>
  <c r="F18" i="5"/>
  <c r="F31" i="5"/>
  <c r="D6" i="4"/>
  <c r="F17" i="5" l="1"/>
  <c r="F7" i="5"/>
  <c r="F33" i="5"/>
  <c r="F23" i="5"/>
  <c r="F194" i="4"/>
  <c r="G194" i="4" s="1"/>
  <c r="H194" i="4" s="1"/>
  <c r="F457" i="4"/>
  <c r="G457" i="4" s="1"/>
  <c r="H457" i="4" s="1"/>
  <c r="I457" i="4" s="1"/>
  <c r="F469" i="4"/>
  <c r="G469" i="4" s="1"/>
  <c r="H469" i="4" s="1"/>
  <c r="I469" i="4" s="1"/>
  <c r="F195" i="4"/>
  <c r="F185" i="4"/>
  <c r="G185" i="4" s="1"/>
  <c r="H185" i="4" s="1"/>
  <c r="I185" i="4" s="1"/>
  <c r="C217" i="5" s="1"/>
  <c r="F167" i="4"/>
  <c r="G167" i="4" s="1"/>
  <c r="H167" i="4" s="1"/>
  <c r="I167" i="4" s="1"/>
  <c r="C199" i="5" s="1"/>
  <c r="F157" i="4"/>
  <c r="G157" i="4" s="1"/>
  <c r="H157" i="4" s="1"/>
  <c r="I157" i="4" s="1"/>
  <c r="C189" i="5" s="1"/>
  <c r="F221" i="4"/>
  <c r="G221" i="4" s="1"/>
  <c r="H221" i="4" s="1"/>
  <c r="I221" i="4" s="1"/>
  <c r="C253" i="5" s="1"/>
  <c r="F203" i="4"/>
  <c r="G203" i="4" s="1"/>
  <c r="H203" i="4" s="1"/>
  <c r="I203" i="4" s="1"/>
  <c r="C235" i="5" s="1"/>
  <c r="F471" i="4"/>
  <c r="G471" i="4" s="1"/>
  <c r="H471" i="4" s="1"/>
  <c r="I471" i="4" s="1"/>
  <c r="I175" i="4"/>
  <c r="C207" i="5" s="1"/>
  <c r="F5" i="5"/>
  <c r="I341" i="4"/>
  <c r="C373" i="5" s="1"/>
  <c r="I325" i="4"/>
  <c r="C357" i="5" s="1"/>
  <c r="I270" i="4"/>
  <c r="C302" i="5" s="1"/>
  <c r="F163" i="4"/>
  <c r="G163" i="4" s="1"/>
  <c r="H163" i="4" s="1"/>
  <c r="I163" i="4" s="1"/>
  <c r="C195" i="5" s="1"/>
  <c r="F191" i="4"/>
  <c r="G191" i="4" s="1"/>
  <c r="H191" i="4" s="1"/>
  <c r="I191" i="4" s="1"/>
  <c r="C223" i="5" s="1"/>
  <c r="I183" i="4"/>
  <c r="C215" i="5" s="1"/>
  <c r="F15" i="5"/>
  <c r="G286" i="4"/>
  <c r="H286" i="4" s="1"/>
  <c r="I286" i="4" s="1"/>
  <c r="C318" i="5" s="1"/>
  <c r="I278" i="4"/>
  <c r="C310" i="5" s="1"/>
  <c r="G47" i="4"/>
  <c r="H47" i="4" s="1"/>
  <c r="I47" i="4" s="1"/>
  <c r="C79" i="5" s="1"/>
  <c r="I14" i="4"/>
  <c r="C46" i="5" s="1"/>
  <c r="I21" i="4"/>
  <c r="C53" i="5" s="1"/>
  <c r="G35" i="4"/>
  <c r="H35" i="4" s="1"/>
  <c r="I35" i="4" s="1"/>
  <c r="C67" i="5" s="1"/>
  <c r="I22" i="4"/>
  <c r="C54" i="5" s="1"/>
  <c r="I45" i="4"/>
  <c r="C77" i="5" s="1"/>
  <c r="I27" i="4"/>
  <c r="C59" i="5" s="1"/>
  <c r="I333" i="4"/>
  <c r="C365" i="5" s="1"/>
  <c r="I309" i="4"/>
  <c r="C341" i="5" s="1"/>
  <c r="I256" i="4"/>
  <c r="C288" i="5" s="1"/>
  <c r="I244" i="4"/>
  <c r="C276" i="5" s="1"/>
  <c r="F11" i="5"/>
  <c r="I12" i="4"/>
  <c r="C44" i="5" s="1"/>
  <c r="I42" i="4"/>
  <c r="C74" i="5" s="1"/>
  <c r="I337" i="4"/>
  <c r="C369" i="5" s="1"/>
  <c r="I18" i="4"/>
  <c r="C50" i="5" s="1"/>
  <c r="G248" i="4"/>
  <c r="H248" i="4" s="1"/>
  <c r="I248" i="4" s="1"/>
  <c r="C280" i="5" s="1"/>
  <c r="F14" i="5"/>
  <c r="I61" i="4"/>
  <c r="C93" i="5" s="1"/>
  <c r="G43" i="4"/>
  <c r="H43" i="4" s="1"/>
  <c r="I43" i="4" s="1"/>
  <c r="C75" i="5" s="1"/>
  <c r="I57" i="4"/>
  <c r="C89" i="5" s="1"/>
  <c r="I39" i="4"/>
  <c r="C71" i="5" s="1"/>
  <c r="F179" i="4"/>
  <c r="G179" i="4" s="1"/>
  <c r="H179" i="4" s="1"/>
  <c r="I179" i="4" s="1"/>
  <c r="C211" i="5" s="1"/>
  <c r="F210" i="4"/>
  <c r="G210" i="4" s="1"/>
  <c r="H210" i="4" s="1"/>
  <c r="I210" i="4" s="1"/>
  <c r="C242" i="5" s="1"/>
  <c r="G202" i="4"/>
  <c r="H202" i="4" s="1"/>
  <c r="I202" i="4" s="1"/>
  <c r="C234" i="5" s="1"/>
  <c r="F470" i="4"/>
  <c r="G470" i="4" s="1"/>
  <c r="H470" i="4" s="1"/>
  <c r="I470" i="4" s="1"/>
  <c r="F155" i="4"/>
  <c r="G155" i="4" s="1"/>
  <c r="H155" i="4" s="1"/>
  <c r="I155" i="4" s="1"/>
  <c r="C187" i="5" s="1"/>
  <c r="F223" i="4"/>
  <c r="G223" i="4" s="1"/>
  <c r="H223" i="4" s="1"/>
  <c r="I223" i="4" s="1"/>
  <c r="C255" i="5" s="1"/>
  <c r="F490" i="4"/>
  <c r="G490" i="4" s="1"/>
  <c r="H490" i="4" s="1"/>
  <c r="I490" i="4" s="1"/>
  <c r="F169" i="4"/>
  <c r="G169" i="4" s="1"/>
  <c r="H169" i="4" s="1"/>
  <c r="I169" i="4" s="1"/>
  <c r="C201" i="5" s="1"/>
  <c r="F159" i="4"/>
  <c r="G159" i="4" s="1"/>
  <c r="H159" i="4" s="1"/>
  <c r="F149" i="4"/>
  <c r="G149" i="4" s="1"/>
  <c r="H149" i="4" s="1"/>
  <c r="I149" i="4" s="1"/>
  <c r="C181" i="5" s="1"/>
  <c r="G132" i="4"/>
  <c r="H132" i="4" s="1"/>
  <c r="I132" i="4" s="1"/>
  <c r="C164" i="5" s="1"/>
  <c r="F201" i="4"/>
  <c r="G201" i="4" s="1"/>
  <c r="H201" i="4" s="1"/>
  <c r="I201" i="4" s="1"/>
  <c r="C233" i="5" s="1"/>
  <c r="F485" i="4"/>
  <c r="G485" i="4" s="1"/>
  <c r="H485" i="4" s="1"/>
  <c r="I485" i="4" s="1"/>
  <c r="G290" i="4"/>
  <c r="H290" i="4" s="1"/>
  <c r="I290" i="4" s="1"/>
  <c r="C322" i="5" s="1"/>
  <c r="G282" i="4"/>
  <c r="H282" i="4" s="1"/>
  <c r="I282" i="4" s="1"/>
  <c r="C314" i="5" s="1"/>
  <c r="G67" i="4"/>
  <c r="H67" i="4" s="1"/>
  <c r="I67" i="4" s="1"/>
  <c r="C99" i="5" s="1"/>
  <c r="G55" i="4"/>
  <c r="H55" i="4" s="1"/>
  <c r="I55" i="4" s="1"/>
  <c r="C87" i="5" s="1"/>
  <c r="I38" i="4"/>
  <c r="C70" i="5" s="1"/>
  <c r="G44" i="4"/>
  <c r="H44" i="4" s="1"/>
  <c r="I44" i="4" s="1"/>
  <c r="C76" i="5" s="1"/>
  <c r="G297" i="4"/>
  <c r="H297" i="4" s="1"/>
  <c r="I297" i="4" s="1"/>
  <c r="C329" i="5" s="1"/>
  <c r="I262" i="4"/>
  <c r="C294" i="5" s="1"/>
  <c r="I70" i="4"/>
  <c r="C102" i="5" s="1"/>
  <c r="G63" i="4"/>
  <c r="H63" i="4" s="1"/>
  <c r="I63" i="4" s="1"/>
  <c r="C95" i="5" s="1"/>
  <c r="G36" i="4"/>
  <c r="H36" i="4" s="1"/>
  <c r="I36" i="4" s="1"/>
  <c r="C68" i="5" s="1"/>
  <c r="G50" i="4"/>
  <c r="H50" i="4" s="1"/>
  <c r="I50" i="4" s="1"/>
  <c r="C82" i="5" s="1"/>
  <c r="G49" i="4"/>
  <c r="H49" i="4" s="1"/>
  <c r="I49" i="4" s="1"/>
  <c r="C81" i="5" s="1"/>
  <c r="F186" i="4"/>
  <c r="F478" i="4"/>
  <c r="G478" i="4" s="1"/>
  <c r="H478" i="4" s="1"/>
  <c r="I478" i="4" s="1"/>
  <c r="I59" i="4"/>
  <c r="C91" i="5" s="1"/>
  <c r="G317" i="4"/>
  <c r="H317" i="4" s="1"/>
  <c r="I317" i="4" s="1"/>
  <c r="C349" i="5" s="1"/>
  <c r="F190" i="4"/>
  <c r="G190" i="4" s="1"/>
  <c r="H190" i="4" s="1"/>
  <c r="F171" i="4"/>
  <c r="G171" i="4" s="1"/>
  <c r="H171" i="4" s="1"/>
  <c r="I171" i="4" s="1"/>
  <c r="C203" i="5" s="1"/>
  <c r="F161" i="4"/>
  <c r="G161" i="4" s="1"/>
  <c r="H161" i="4" s="1"/>
  <c r="F482" i="4"/>
  <c r="G482" i="4" s="1"/>
  <c r="H482" i="4" s="1"/>
  <c r="I482" i="4" s="1"/>
  <c r="F458" i="4"/>
  <c r="G458" i="4" s="1"/>
  <c r="H458" i="4" s="1"/>
  <c r="I458" i="4" s="1"/>
  <c r="I284" i="4"/>
  <c r="C316" i="5" s="1"/>
  <c r="G266" i="4"/>
  <c r="H266" i="4" s="1"/>
  <c r="I266" i="4" s="1"/>
  <c r="C298" i="5" s="1"/>
  <c r="G48" i="4"/>
  <c r="H48" i="4" s="1"/>
  <c r="I48" i="4" s="1"/>
  <c r="C80" i="5" s="1"/>
  <c r="I146" i="4"/>
  <c r="C178" i="5" s="1"/>
  <c r="F16" i="5"/>
  <c r="I313" i="4"/>
  <c r="C345" i="5" s="1"/>
  <c r="G260" i="4"/>
  <c r="H260" i="4" s="1"/>
  <c r="I260" i="4" s="1"/>
  <c r="C292" i="5" s="1"/>
  <c r="I58" i="4"/>
  <c r="C90" i="5" s="1"/>
  <c r="G54" i="4"/>
  <c r="H54" i="4" s="1"/>
  <c r="I54" i="4" s="1"/>
  <c r="C86" i="5" s="1"/>
  <c r="F6" i="4"/>
  <c r="G6" i="4" s="1"/>
  <c r="H6" i="4" s="1"/>
  <c r="C28" i="5"/>
  <c r="G186" i="4" l="1"/>
  <c r="H186" i="4" s="1"/>
  <c r="I186" i="4" s="1"/>
  <c r="C218" i="5" s="1"/>
  <c r="I190" i="4"/>
  <c r="C222" i="5" s="1"/>
  <c r="I161" i="4"/>
  <c r="C193" i="5" s="1"/>
  <c r="I159" i="4"/>
  <c r="C191" i="5" s="1"/>
  <c r="G195" i="4"/>
  <c r="H195" i="4" s="1"/>
  <c r="I195" i="4" s="1"/>
  <c r="C227" i="5" s="1"/>
  <c r="I194" i="4"/>
  <c r="C226" i="5" s="1"/>
  <c r="I6" i="4"/>
  <c r="C38" i="5" s="1"/>
  <c r="C27" i="5"/>
  <c r="C12" i="5"/>
  <c r="C20" i="5"/>
  <c r="C5" i="5" l="1"/>
  <c r="C25" i="5"/>
  <c r="C13" i="5"/>
  <c r="C6" i="5"/>
  <c r="C9" i="5"/>
  <c r="C15" i="5"/>
  <c r="C14" i="5"/>
  <c r="C16" i="5"/>
  <c r="C7" i="5"/>
</calcChain>
</file>

<file path=xl/sharedStrings.xml><?xml version="1.0" encoding="utf-8"?>
<sst xmlns="http://schemas.openxmlformats.org/spreadsheetml/2006/main" count="866" uniqueCount="494">
  <si>
    <t>CODIGO</t>
  </si>
  <si>
    <t>PRODUCTO</t>
  </si>
  <si>
    <t>TOTAL</t>
  </si>
  <si>
    <t>PREMIO ROJO 2 LTS (8)</t>
  </si>
  <si>
    <t xml:space="preserve">FUZE TEA TE N. LIMON 1,2 ML </t>
  </si>
  <si>
    <t>COCA-COLA 6,5OZ VIR(30)</t>
  </si>
  <si>
    <t>QUATRO TJA 6,5OZ VIR(30)</t>
  </si>
  <si>
    <t>PREMIO RJ 6 OZ VIR(30)</t>
  </si>
  <si>
    <t>SPRITE LL6,5 OZ</t>
  </si>
  <si>
    <t>FANTA NARANJA 250 ML RGB</t>
  </si>
  <si>
    <t>FANTA MANZANA 250 ML RGB</t>
  </si>
  <si>
    <t>PREMIO ROJO 250 ML RGB</t>
  </si>
  <si>
    <t xml:space="preserve"> </t>
  </si>
  <si>
    <t>COCA-COLA 350ML VIR(30)</t>
  </si>
  <si>
    <t>COCA COLA ZERO 350 ML VIR</t>
  </si>
  <si>
    <t>QUATRO TJA 350ML VIR(30)</t>
  </si>
  <si>
    <t>SPRITE LL 350ML VIR(30)</t>
  </si>
  <si>
    <t>SCHWEPPES SODA 350 ML VIR (30)</t>
  </si>
  <si>
    <t>FANTA MANZANA 350ML (30) VIR</t>
  </si>
  <si>
    <t>COCA COLA 1.25LT VIR(12)</t>
  </si>
  <si>
    <t>FANTA NARANJA 1,75 LTS (12)</t>
  </si>
  <si>
    <t>QUATRO TJA 2 LTS (8)</t>
  </si>
  <si>
    <t>COCA-COLA 3 LITROS PET(6)</t>
  </si>
  <si>
    <t>SPRITE 3 LTS PET (6)</t>
  </si>
  <si>
    <t>QUATRO 3 LTS PET (6)</t>
  </si>
  <si>
    <t>PREMIO ROJO 3 LTS  PET (6)</t>
  </si>
  <si>
    <t>CC PET 2.5LTNR 8 PK K</t>
  </si>
  <si>
    <t>COCA-COLA 20 OZ PET(15)</t>
  </si>
  <si>
    <t>FUZE TEA TE NEGRO DURAZNO PET 400 ML  (6)</t>
  </si>
  <si>
    <t>FUZE TEA TE NEGRO LIMON PET 400 (6)</t>
  </si>
  <si>
    <t>FUZE TEA TE N. DURAZNO1.2ML</t>
  </si>
  <si>
    <t>FRESH MANDARINA 400 PET</t>
  </si>
  <si>
    <t>FRESH NARANJA400 PET</t>
  </si>
  <si>
    <t>FRESH LIMON 400 PET</t>
  </si>
  <si>
    <t>FRSH NARANJA 600ML(15)</t>
  </si>
  <si>
    <t>FRESH MANDARINA 2.5 LT PET (8)</t>
  </si>
  <si>
    <t>FRESH NARANJA 2.5 LT PET (8)</t>
  </si>
  <si>
    <t>FRESH NARANJA 200 ML (24) con precio</t>
  </si>
  <si>
    <t>FRESH LIMON 200 ML (24)Sin Precio</t>
  </si>
  <si>
    <t>COCA-COLA ZERO 10 OZ  (12)  (Ch</t>
  </si>
  <si>
    <t xml:space="preserve">COCA COLA 10 OZ VNR (12) SPMKS </t>
  </si>
  <si>
    <t>POWERADE ION4 FT 500ML PET(6)</t>
  </si>
  <si>
    <t>POWERADE ION4 MB 500ML PET(6)</t>
  </si>
  <si>
    <t>POWERADE MANZANA EDICION LIMITADA 500ML</t>
  </si>
  <si>
    <t>COCA-COLA 17,7LT BIB</t>
  </si>
  <si>
    <t>COCA COLA ZERO 5 LT BIB</t>
  </si>
  <si>
    <t>QUATRO TJ 5LT BIB</t>
  </si>
  <si>
    <t>SPRITE LL 5LT BIB</t>
  </si>
  <si>
    <t>PREMIO ROJO BIB 5L</t>
  </si>
  <si>
    <t>GAS CARBONICO</t>
  </si>
  <si>
    <t>AGUA BRISA GAS PET 280 ML (24)</t>
  </si>
  <si>
    <t>AGUA BRISA BIDON 6 LT (2)</t>
  </si>
  <si>
    <t>AGUA BRISA PET 600ML (24)</t>
  </si>
  <si>
    <t>AGUA BRISA GAS PET 600ML (24)</t>
  </si>
  <si>
    <t>3 PACK POWER SURT (NM + MB+ FT)</t>
  </si>
  <si>
    <t>SPRITE 2 LTS (8)</t>
  </si>
  <si>
    <t>BOT COCA-COLA 6,5OZ</t>
  </si>
  <si>
    <t>BOT QUATRO 6,5 OZ</t>
  </si>
  <si>
    <t>BOT SPRITE VIR 6,5 OZ</t>
  </si>
  <si>
    <t>BOT COCA-COLA 350ML</t>
  </si>
  <si>
    <t>BOTELLA COCA COLA ZERO 350 ML VIR</t>
  </si>
  <si>
    <t>BOTELLA FANTA 350 ML VIR</t>
  </si>
  <si>
    <t>BOT QUATRO 350ML</t>
  </si>
  <si>
    <t>BOT SPRITE 350ML</t>
  </si>
  <si>
    <t>BOT PREMIO 350 ML</t>
  </si>
  <si>
    <t>BOTELLA SCHWEPPES 350 ML VIR</t>
  </si>
  <si>
    <t>BOT COCA-COLA 1.25LT</t>
  </si>
  <si>
    <t>CILINDRO 20KL</t>
  </si>
  <si>
    <t>CANASTA PLASTICA 30UN</t>
  </si>
  <si>
    <t>CANASTA PLASTICA 12UN</t>
  </si>
  <si>
    <t>CANASTA PLASTICA BRISA</t>
  </si>
  <si>
    <t>CANASTA PLASTICA BRISA KOF</t>
  </si>
  <si>
    <t>CANASTA PLASTICA VERDE</t>
  </si>
  <si>
    <t>RACK O ESTIBA METALICA</t>
  </si>
  <si>
    <t>QUATRO TORONJA 2,5 LTS (8)</t>
  </si>
  <si>
    <t>COCA COLA ZERO 2.5 LTS (8)</t>
  </si>
  <si>
    <t>FANTA UVA 1,75 LTS (12)</t>
  </si>
  <si>
    <t>SPRITE LIMA LIMON 2,5 LTS (8)</t>
  </si>
  <si>
    <t>COCA COLA 250 ML (12)</t>
  </si>
  <si>
    <t>FANTA NARANJA 250 ML (12)</t>
  </si>
  <si>
    <t>MANANTIAL GAS 600 ML (24)</t>
  </si>
  <si>
    <t>MANANTIAL 1,5 PET (9)</t>
  </si>
  <si>
    <t>QUATRO 250 ML PET (12)</t>
  </si>
  <si>
    <t>SPRITE 250 ML PET (12)</t>
  </si>
  <si>
    <t>FANTA 250 VIR</t>
  </si>
  <si>
    <t>PREMIO ROJO 250 ML</t>
  </si>
  <si>
    <t>PREMIO ROJO 350 ML (30)</t>
  </si>
  <si>
    <t>RACK BRISA X 16</t>
  </si>
  <si>
    <t>PREMIO ROJO 350 ML PET (15)</t>
  </si>
  <si>
    <t>COCA COLA ZERO 1,5 NR (12)</t>
  </si>
  <si>
    <t>COCA COLA ZERO 350 ML PET (15)</t>
  </si>
  <si>
    <t>FUZE TE NEGRO LIMON TETRA 200 ML</t>
  </si>
  <si>
    <t>COCA COLA 350 ML PET (15)</t>
  </si>
  <si>
    <t>TETRA MANZANA  200 ML Sin precio</t>
  </si>
  <si>
    <t>QUATRO 350 ML PET (15)</t>
  </si>
  <si>
    <t>SPRITE 350 ML PET (15)</t>
  </si>
  <si>
    <t>AGUA BRISA PET 280 ML (24)</t>
  </si>
  <si>
    <t>AGUA BRISA GAS LIMA LIMON PET 280 ML (24)</t>
  </si>
  <si>
    <t>FANTA MANZANA 1,75 LTS (12)</t>
  </si>
  <si>
    <t>COCA COLA ZERO 250 ML (12)</t>
  </si>
  <si>
    <t>MANANTIAL 600 ML (12)</t>
  </si>
  <si>
    <t>FUZE TEA TE NEGRO MANZANA PET 400 (6)</t>
  </si>
  <si>
    <t>3 PACK FUZE 400 DUR -  MANZ + LIM</t>
  </si>
  <si>
    <t>FRESH NARANJA 2 LT PET (8)</t>
  </si>
  <si>
    <t>FRESH MANDARINA 2 LT PET (8)</t>
  </si>
  <si>
    <t>AGUA BRISA BOLSA 6 LTS (4) SPMKS</t>
  </si>
  <si>
    <t>AGUA BRISA BOLSA 6 LTS (4)</t>
  </si>
  <si>
    <t>Fresh naranja 1,365 ml pet (12)</t>
  </si>
  <si>
    <t>Fresh mandarina 1.365 ml pet (12)</t>
  </si>
  <si>
    <t>2 PACK FUZE 1,2LT + FUZE MANGO 400</t>
  </si>
  <si>
    <t xml:space="preserve">2 PACK FUZE 1,2LT </t>
  </si>
  <si>
    <t>FANTA MANZANA 237 ML MINILATA (12)</t>
  </si>
  <si>
    <t>FANTA NARANJA 237 ML MINILATA (12)</t>
  </si>
  <si>
    <t>FANTA UVA 237 ML MINILATA (12)</t>
  </si>
  <si>
    <t>Estiba</t>
  </si>
  <si>
    <t>Piso</t>
  </si>
  <si>
    <t>AGUA BRISA GAS LIMA LIMON PET 600ML (24)</t>
  </si>
  <si>
    <t>CC PET 2LTSNR 8 PK</t>
  </si>
  <si>
    <t>QUATRO  1,5LT</t>
  </si>
  <si>
    <t>SRITE LIMA LIMON 1,5LT</t>
  </si>
  <si>
    <t>COCA-COLA 400ml PET(12)</t>
  </si>
  <si>
    <t>Fresh Naranja 1,5ml</t>
  </si>
  <si>
    <t xml:space="preserve">Fresh Mandarina 1,5ml </t>
  </si>
  <si>
    <t>COCA COLA ZERO 500 ML PET (12)</t>
  </si>
  <si>
    <t>COCA COLA ZERO 200 ML (24)</t>
  </si>
  <si>
    <t>COCA COLA 1.25LT PET(12)</t>
  </si>
  <si>
    <t>COCA-COLA ZERO 20 OZ PET(15)</t>
  </si>
  <si>
    <t>6PACK CCR 250ML MINI PET</t>
  </si>
  <si>
    <t>6 CCR + 2 MINILATA SABOR SURTIDO</t>
  </si>
  <si>
    <t>COCA COLA MINILATA 237(12)</t>
  </si>
  <si>
    <t>COCA COLA LIFE MINILATA (12)</t>
  </si>
  <si>
    <t>COCA COLA ZERO MINILATA 237(12)</t>
  </si>
  <si>
    <t>FANTA NARANJA 500ML PET (12)</t>
  </si>
  <si>
    <t>FANTA MANZANA 500ML PET (12)</t>
  </si>
  <si>
    <t>TETRA FRUTOS TROPICALES  200 ML Sin precio</t>
  </si>
  <si>
    <t>FRESH FRUTOS TROPICALES 400 PET</t>
  </si>
  <si>
    <t xml:space="preserve">Fresh frutos tropicales 1,5ml </t>
  </si>
  <si>
    <t xml:space="preserve">             </t>
  </si>
  <si>
    <t>FUZE LIMON 1,5LT</t>
  </si>
  <si>
    <t>FUZE DURAZNO1.5LT</t>
  </si>
  <si>
    <t>FUZE  DURAZNO 400 ML  (6)</t>
  </si>
  <si>
    <t>FUZE  LIMON 400 ML  (6)</t>
  </si>
  <si>
    <t>FANTA NARANJA 200ML</t>
  </si>
  <si>
    <t>FANTA MANZANA 200ML</t>
  </si>
  <si>
    <t>FANTA UVA 200ML</t>
  </si>
  <si>
    <t>FANTA UVA 250 ML RGB</t>
  </si>
  <si>
    <t>FANTA UVA 500ML PET (12)</t>
  </si>
  <si>
    <t>TAI 600ML (24)</t>
  </si>
  <si>
    <t>FUZE TE NEGRO DURAZNO TETRA 200 ML</t>
  </si>
  <si>
    <t>ADES SOYA DURAZNO 1L 12u</t>
  </si>
  <si>
    <t>ADES SOYA MORA 1L 12u</t>
  </si>
  <si>
    <t>ADES SOYA MANGO 200ML</t>
  </si>
  <si>
    <t>ADES SOYA DURAZNO 200ML PET (24)</t>
  </si>
  <si>
    <t xml:space="preserve">QUATRO 200ml pet </t>
  </si>
  <si>
    <t>6 PACK VALLEFRESH TETRA SURTIDO</t>
  </si>
  <si>
    <t>12 PACK FRESH TETRA SURTIDO</t>
  </si>
  <si>
    <t>2PACK CC+ FANTA MANZANA 1,5LTS</t>
  </si>
  <si>
    <t>PACK CCO 1,5LTS + QTR 1,5LTS</t>
  </si>
  <si>
    <t>Ades Soya Manzana TP 1l 12u CA</t>
  </si>
  <si>
    <t>Ades Soya Mango TP 1l 12u CA</t>
  </si>
  <si>
    <t>Ades Soya Naranja TP 200ml 24u CA</t>
  </si>
  <si>
    <t xml:space="preserve">PREMIO 400PET </t>
  </si>
  <si>
    <t>Fresh Naranja 1,75ml</t>
  </si>
  <si>
    <t xml:space="preserve">Fresh Mandarina 1,75ml </t>
  </si>
  <si>
    <t xml:space="preserve">QUATRO 400PET </t>
  </si>
  <si>
    <t>SPRITE 400PET</t>
  </si>
  <si>
    <t xml:space="preserve">UVA 400PET </t>
  </si>
  <si>
    <t>FANTA MANZANA 400ML PET (12)</t>
  </si>
  <si>
    <t>FANTA NARANJA 400ML PET (12)</t>
  </si>
  <si>
    <t>SODA 10oz</t>
  </si>
  <si>
    <t>COCA-COLA ZERO 6,5OZ VIR(30)</t>
  </si>
  <si>
    <t>FUZE LIMON 1,75LT</t>
  </si>
  <si>
    <t>FUZE DURAZNO1.75LT</t>
  </si>
  <si>
    <t>TETRA MANGO  200 ML</t>
  </si>
  <si>
    <t>ADES MANZANA 200ml</t>
  </si>
  <si>
    <t>4 PACK BRISA 1 LITRO</t>
  </si>
  <si>
    <t>2 PACK C.C 2,5 ZERO LTS</t>
  </si>
  <si>
    <t>6 PACK MANANTIAL 600 ML</t>
  </si>
  <si>
    <t>4 PACK CCZ 1.5 LTS</t>
  </si>
  <si>
    <t>SCHEPPES GINGER 1,5 LTS</t>
  </si>
  <si>
    <t xml:space="preserve">6 PACK VALLE FRESH </t>
  </si>
  <si>
    <t>ADES MORA 200ml</t>
  </si>
  <si>
    <t>6 PACK BRISA 280 PET</t>
  </si>
  <si>
    <t>FANTA NARANJA 350ML (30) VIR</t>
  </si>
  <si>
    <t>BRISA MANDARINA 600 ML PET</t>
  </si>
  <si>
    <t>COCA COLA ORIGINAL 200 ML</t>
  </si>
  <si>
    <t>DEL VALLE CITRUS 250 ML pet (12)</t>
  </si>
  <si>
    <t>DEL VALLE CITRUS 400 ml pet (12)</t>
  </si>
  <si>
    <t>DEL VALLE CITRUS 1.5 LTS PET (12)</t>
  </si>
  <si>
    <t>DEL VALLE CITRUS 2.5 LTS PET (6)</t>
  </si>
  <si>
    <t>DEL VALLE FRESA 400 PET</t>
  </si>
  <si>
    <t>DEL VALLE FRESA TETRTA 200ML</t>
  </si>
  <si>
    <t>6 PACK CC REGULAR MINILATA 237ML</t>
  </si>
  <si>
    <t>6 PACK BRISA 600PET</t>
  </si>
  <si>
    <t>FUZE TEA TE MANGO PET 400 (6)</t>
  </si>
  <si>
    <t>6 PACK BRISA 1 LITRO</t>
  </si>
  <si>
    <t>DELVALLE NUTRIDEFENSAS MANZANA 250</t>
  </si>
  <si>
    <t>DELVALLE NUTRIDEFENSAS DURAZNO 250</t>
  </si>
  <si>
    <t>DELVALLE NUTRIDEFENSAS NARANJA 200</t>
  </si>
  <si>
    <t>DELVALLE NUTRIDEFENSAS MANZANA 200</t>
  </si>
  <si>
    <t>DELVALLE NUTRIDEFENSAS DURAZNO 200</t>
  </si>
  <si>
    <t>9 PACK NUTRIDEFENSAS 200 ML TETRA</t>
  </si>
  <si>
    <t>PREMIO ROJO 1.5 L</t>
  </si>
  <si>
    <t xml:space="preserve">QUATRO SIN AZUCAR 400PET </t>
  </si>
  <si>
    <t>ADES SOYA NARANJA TP 946ML 12 U</t>
  </si>
  <si>
    <t>ADES SOYA NATURAL TP 946ML 12 U</t>
  </si>
  <si>
    <t>ADES SOYA CHOCOLATE TP 946ML 12 U</t>
  </si>
  <si>
    <t>ADES SOYA VAINILLA TP 946ML 12 U</t>
  </si>
  <si>
    <t>DELVALLE FRUTAL MANDARINA - PIÑA</t>
  </si>
  <si>
    <t>DELVALLE FRUTAL MANGO</t>
  </si>
  <si>
    <t>DEL VALLE FRUTAL GUAYABA 350 ML</t>
  </si>
  <si>
    <t>DEL VALLE FRUTAL MANGO 350 ML</t>
  </si>
  <si>
    <t>QUATRO 1.75 L</t>
  </si>
  <si>
    <t>CCS/AZU COLA LAT 235ML NR ALU 6x6 U</t>
  </si>
  <si>
    <t>6 PACK CC LATA 330 ML</t>
  </si>
  <si>
    <t xml:space="preserve">CC COLA MEZ 235 ML NR ALU 6x6U </t>
  </si>
  <si>
    <t>COCA COLA SIN AZUCAR 235 ML MINILATA (12)</t>
  </si>
  <si>
    <t xml:space="preserve">BRISA ECOFLEX </t>
  </si>
  <si>
    <t>DEL VALLE MEZ MUL PAC 200 ML 9X9</t>
  </si>
  <si>
    <t>CC COLA 235 X 12</t>
  </si>
  <si>
    <t>24 PK SURT BRISA 280 + CCSA 250ML</t>
  </si>
  <si>
    <t>15 PACK FRESH Y FRUTAL 200 ML</t>
  </si>
  <si>
    <t>ADES SOYA MANZANA TP 200 ML 40 U CA</t>
  </si>
  <si>
    <t>ADES SOYA UVA TP 200 ML 40 U CA</t>
  </si>
  <si>
    <t>ADES SOYA NARANJA TP 200 ML 40 U CA</t>
  </si>
  <si>
    <t>DV FRUTAL MANGO 500 ML PET (6)</t>
  </si>
  <si>
    <t>DV FRUTAL MANDARINA - PIÑA.</t>
  </si>
  <si>
    <t>6 PACK ADES 200 ML TETRA FRUTAL</t>
  </si>
  <si>
    <t>COCA COLA SIN AZUCAR 330 ML LATA ADV</t>
  </si>
  <si>
    <t>CCS/AZU CAFÉ LAT 235 ML NR ALU 12X12U</t>
  </si>
  <si>
    <t>MANANTI MINCGAS PAC 600 ML</t>
  </si>
  <si>
    <t>ESTIBA MADERA AZUL</t>
  </si>
  <si>
    <t>FRUTAL MANGO 1 L PET (6)</t>
  </si>
  <si>
    <t>COCA COLA ORIGINAL 235 ML MINILATA (12)</t>
  </si>
  <si>
    <t>SPRITE 1.75L (12)</t>
  </si>
  <si>
    <t>COCA COLA SA 1.75 L PET (12)</t>
  </si>
  <si>
    <t>FRUTAL GUAYABA 250 ML PET (12)</t>
  </si>
  <si>
    <t>FRUTAL MAND PIÑA 250 ML PET (12)</t>
  </si>
  <si>
    <t>2 PK FRESH CITRUS 2.5 L</t>
  </si>
  <si>
    <t>ADES SOYA ALMENDRAS TP 946 ML</t>
  </si>
  <si>
    <t>ADES COCO TP 946 ML  X12</t>
  </si>
  <si>
    <t>6 PK FRESH SURT CITRUS 200 ML</t>
  </si>
  <si>
    <t>12 PK FRESH SURT CITRUS 200 ML</t>
  </si>
  <si>
    <t>FRUTAL MAND  PIÑA  1 L PET (6)</t>
  </si>
  <si>
    <t>CCSA CON CAFÉ 250 ML PET (12)</t>
  </si>
  <si>
    <t>BRISA LIMA LIMON 1.5 L PET (12)</t>
  </si>
  <si>
    <t>SCHWEPPES SODA 1.75 L (12)</t>
  </si>
  <si>
    <t>SCHWEPPES GINGER 1.75 L (12)</t>
  </si>
  <si>
    <t>BRISA LIMA LIMON 600 ML (6)</t>
  </si>
  <si>
    <t>DEL VALLE FRUTAL MANDAR</t>
  </si>
  <si>
    <t>PREMIO ROJO 1.75 L</t>
  </si>
  <si>
    <t>FANTA NARANJA 1.75 L</t>
  </si>
  <si>
    <t>FANTA MANZANA 1.75 L</t>
  </si>
  <si>
    <t>FANTA UVA 1.75 L</t>
  </si>
  <si>
    <t>6PACK CCSA CAFÉ  250 MINI PET</t>
  </si>
  <si>
    <t>6 PK CCSA CON CAFÉ LATA 235 ML</t>
  </si>
  <si>
    <t>QUATRO T. ROSA  400 ML NR (12)</t>
  </si>
  <si>
    <t>SPRITE HIERBABUENA 400 ML NR (12)</t>
  </si>
  <si>
    <t>SPRITE HIERBABUENA 330 ML LATA (12)</t>
  </si>
  <si>
    <t>BOTELLA FRUTAL 350 ML VIR</t>
  </si>
  <si>
    <t>QUATRO T. ROSA 330 ML LATA (12)</t>
  </si>
  <si>
    <t>BRISA SIN GAS 3 LT (6)</t>
  </si>
  <si>
    <t>COCA-COLA 1.5 LT NR (12) Nvo</t>
  </si>
  <si>
    <t>COCA-COLA 3 LITROS PET(6) Nvo</t>
  </si>
  <si>
    <t>CC PET 2.5LTNR 8 PK  Nvo</t>
  </si>
  <si>
    <t xml:space="preserve">COMBO AHORRO CCSO 3LT </t>
  </si>
  <si>
    <t>2 PK (CCSO 3LT + SP 3LT ) Nvo</t>
  </si>
  <si>
    <t>2 PK (1CCSO 3LT + 1 QT3LT) Nvo</t>
  </si>
  <si>
    <t xml:space="preserve">COMBO AHORRO CCSO 2.5 LT </t>
  </si>
  <si>
    <t>COCA-COLA 330ML LATA (12)</t>
  </si>
  <si>
    <t>FRUTAL MANGOFRS 500 ML</t>
  </si>
  <si>
    <t>DVFRESH CITRUS 500 ML</t>
  </si>
  <si>
    <t xml:space="preserve">DV FRESH MANDARINA 500 ML </t>
  </si>
  <si>
    <t>FRUTAL MANGOFRS 1L (6)</t>
  </si>
  <si>
    <t xml:space="preserve">CCS/AZU ENERGY LAT 235 ML 12X12 </t>
  </si>
  <si>
    <t xml:space="preserve">2 PK BRISASIN GAS 3 L </t>
  </si>
  <si>
    <t>6 PK (3CT+3MD) 200ML</t>
  </si>
  <si>
    <t>FRUTAL MANGOFRS 350 ML (30)</t>
  </si>
  <si>
    <t>COCA COLA SA 400ML</t>
  </si>
  <si>
    <t>KOLA ROMAN 400 ML NR (12)</t>
  </si>
  <si>
    <t>6PK(2MG+2MRA+1MFR+1PÑM)200MLTRP CAJ</t>
  </si>
  <si>
    <t>DV FRUTAL MORA 500 ML PET (6)</t>
  </si>
  <si>
    <t>FRUTAL MORA 1L</t>
  </si>
  <si>
    <t>6 PK SCHW SODA 10 oz Nva</t>
  </si>
  <si>
    <t>SCHWEPPES SODA 10OZ VNR(12)NvaB</t>
  </si>
  <si>
    <t>SCHWEPPES GINGER 10 oz VNR Nva</t>
  </si>
  <si>
    <t xml:space="preserve">KOLA ROMAN 1.75L </t>
  </si>
  <si>
    <t>2 PK CCSA 1.5 LT</t>
  </si>
  <si>
    <t>2 PC CCSO 1.5LT</t>
  </si>
  <si>
    <t>3 PK (2CCSO2.5L+1CCSA1.5L) GT1. S1.5</t>
  </si>
  <si>
    <t>2 PK BRISA LIMON 1.5L</t>
  </si>
  <si>
    <t>2 PK (SCHW SODA + CCSA)1.75LT</t>
  </si>
  <si>
    <t>SCHWEPPES SODA 400ML PET (12)</t>
  </si>
  <si>
    <t>SCHWEPPES GINGER 400ML PET (12)</t>
  </si>
  <si>
    <t>COCA COLA SO 1.75 L</t>
  </si>
  <si>
    <t>SCHWEPPES TONICA 10OZ VNR (12)</t>
  </si>
  <si>
    <t>2 PK CCSO 3LT + ITEM</t>
  </si>
  <si>
    <t>MONSTER BLUE ZERO 473 MLLAT(24)</t>
  </si>
  <si>
    <t>SPRITE SO 330ML LATA(12)</t>
  </si>
  <si>
    <t>QUATRO SO 330ML LATA(12)</t>
  </si>
  <si>
    <t>MONSTER VIOLET  473ML(24)</t>
  </si>
  <si>
    <t>MANANTIAL SIN GAS 500 ML</t>
  </si>
  <si>
    <t>BRISA MANZANA 600 ML(6)</t>
  </si>
  <si>
    <t>BRISA MANZANA 1.5 L</t>
  </si>
  <si>
    <t>4 PK TONICA SCHW 10 oz VNR</t>
  </si>
  <si>
    <t>3 PK (2CCSO3L+GTIS1CCSO1.5L) PET</t>
  </si>
  <si>
    <t>3 PACK ADES ALMENDRAS 946ML</t>
  </si>
  <si>
    <t>2PK BRISA (LLM+MZN) 1.5L</t>
  </si>
  <si>
    <t>6 PK SCHW SODA 10 oz VNR + ITEM</t>
  </si>
  <si>
    <t>12 PK (4MG+2PÑ+4MRA+2MFR) 500ML PET</t>
  </si>
  <si>
    <t>12PK(3MG+2MRA+2MFR+2PÑM+2DZ+1MZ)CAJ</t>
  </si>
  <si>
    <t xml:space="preserve">KOLA ROMA 1,5 LTS </t>
  </si>
  <si>
    <t>AGUA BRISA GAS MANZANA PET 280 ML (24)</t>
  </si>
  <si>
    <t>2 PACK ADES ALMENDRAS 946ML</t>
  </si>
  <si>
    <t>FRUTAL MORA 946ML TETRA(6)</t>
  </si>
  <si>
    <t>FRUTAL MANGOFRS 946ML TETRA(6)</t>
  </si>
  <si>
    <t>FRUTAL MANGO 946ML TETRA(6)</t>
  </si>
  <si>
    <t>FRUTAL MDR-PIÑA 946ML TETRA(6)</t>
  </si>
  <si>
    <t xml:space="preserve">3PACK S.A. 1,5LTS </t>
  </si>
  <si>
    <t>3PACK ( 2CCSO+1QTRO) 1,75LTS</t>
  </si>
  <si>
    <t xml:space="preserve">2PACK SODA 1,75LTS </t>
  </si>
  <si>
    <t>12PACK SODA 400ML</t>
  </si>
  <si>
    <t xml:space="preserve">3PACK (2MNG+1MRA) 946ML </t>
  </si>
  <si>
    <t>3PACK BRSA (2MZNA + 1LMN) 600 PET</t>
  </si>
  <si>
    <t>AGUA BRISA BOTELLON 5 GL TAPA VALVULA</t>
  </si>
  <si>
    <t>6 PACK CC 269 lata</t>
  </si>
  <si>
    <t>SCHEPPES SODA 1,5 LTS</t>
  </si>
  <si>
    <t xml:space="preserve">2 PACK CCZ + CCSO 1.5L </t>
  </si>
  <si>
    <t>6PACK C.C. SIN AZUCAR 250PET</t>
  </si>
  <si>
    <t xml:space="preserve">3 PACK CCSO 1.5L </t>
  </si>
  <si>
    <t>3PK (2CC3LTS + 1 BRISA MANZANA 1,5)</t>
  </si>
  <si>
    <t xml:space="preserve">12 PACK BRISA PLANA 280 </t>
  </si>
  <si>
    <t>4 PK SCHW SODA 10 oz VNR + ITEM</t>
  </si>
  <si>
    <t>6 PACK POWER SURT (NM + MB+ FT)</t>
  </si>
  <si>
    <t>3PK (2CC3LTS + 1 CCSA  1,5)</t>
  </si>
  <si>
    <t>3PK (2CCSA2,5LTS + 1 SODA  1,5)</t>
  </si>
  <si>
    <t>3PK KOLA ROMAN 1,5LTS</t>
  </si>
  <si>
    <t>2PK CCSA+SPT 1,75 LTS</t>
  </si>
  <si>
    <t xml:space="preserve">4PACK MANANTIAL 300VIR + ITEM </t>
  </si>
  <si>
    <t>BOTELLON DE AGUA 5 GLN</t>
  </si>
  <si>
    <t>6 PK SCHW GINGER  10 oz Nva</t>
  </si>
  <si>
    <t>SODA LATA 269ML X12</t>
  </si>
  <si>
    <t>GINGER LATA 269ML X12</t>
  </si>
  <si>
    <t>TONICA LATA 269ML X12</t>
  </si>
  <si>
    <t xml:space="preserve">4PACK MANANTIAL VIR 300ML </t>
  </si>
  <si>
    <t xml:space="preserve">4PACK MANANTIAL GAS VIR 300ML </t>
  </si>
  <si>
    <t xml:space="preserve">6PACK SODA LATA 269ML </t>
  </si>
  <si>
    <t xml:space="preserve">COCA COLA LATA SA 235 </t>
  </si>
  <si>
    <t>4PACK TONICA LATA 235</t>
  </si>
  <si>
    <t xml:space="preserve">12PK BRISA MANZANA 280 </t>
  </si>
  <si>
    <t xml:space="preserve">18PK FRUTAL TETRA + ITEM </t>
  </si>
  <si>
    <t>DEL VALLE MANDARINA 400 ml pet (12)</t>
  </si>
  <si>
    <t xml:space="preserve">QUATRO TORONJA 1,5 LTS </t>
  </si>
  <si>
    <t xml:space="preserve">24PK BRISA SIN GAS 280 PET + ITEM </t>
  </si>
  <si>
    <t>3PK (2CC3LTS + 1 CITRUS1,5LTS)</t>
  </si>
  <si>
    <t xml:space="preserve">3PK MANZANA 1,5 LTS </t>
  </si>
  <si>
    <t xml:space="preserve">12PK GINGER 10 ONZAS </t>
  </si>
  <si>
    <t xml:space="preserve">3PK 2CC3LTS + 1 CCSO1,5LTS </t>
  </si>
  <si>
    <t xml:space="preserve">3PK CC + QT 3L + CC1,5LTS </t>
  </si>
  <si>
    <t>18PK SODA 10OZ</t>
  </si>
  <si>
    <t>ESTIBA DE MADERA ISO VERDE</t>
  </si>
  <si>
    <t xml:space="preserve">ESTIBA NEGRA ISO PLASTICA </t>
  </si>
  <si>
    <t xml:space="preserve">ESTIBA DE MADERA </t>
  </si>
  <si>
    <t>FRUTAL SALPICON 946ML TETRA(6)</t>
  </si>
  <si>
    <t>2 PK BRISA MANZANA 1.5L</t>
  </si>
  <si>
    <t>12PK MANANTIAL SIN GAS 600ML P9LL12</t>
  </si>
  <si>
    <t>FRUTAL SALPICON 500 ML PET</t>
  </si>
  <si>
    <t xml:space="preserve">COCA COLA SABOR LIGERO 1,5 LTS </t>
  </si>
  <si>
    <t>2 PK SODA 1.5L</t>
  </si>
  <si>
    <t>FRUTAL SALPICON 188 ML TETRA (24)</t>
  </si>
  <si>
    <t>AGUA BRISA GAS MARACUYA  PET 280 ML (24)</t>
  </si>
  <si>
    <t xml:space="preserve"> BRISA MARACUYA PET 1,5LT (12)</t>
  </si>
  <si>
    <t xml:space="preserve"> BRISA MARACUYA PET 600ML (6)</t>
  </si>
  <si>
    <t>6PACK GINGER LATA 269ML</t>
  </si>
  <si>
    <t>3 PACK ADES VAINILLA 946ML</t>
  </si>
  <si>
    <t xml:space="preserve">18PK FRUTAL TETRA 188ML </t>
  </si>
  <si>
    <t>FRESH MANDARINA 188 ML (24)Sin Precio</t>
  </si>
  <si>
    <t>FRESH CITRUS 188 ML (24)Sin Precio</t>
  </si>
  <si>
    <t>FRUTAL MORA 188ML</t>
  </si>
  <si>
    <t>FRUTAL MANGOFRS 188 ML TETRA (24)</t>
  </si>
  <si>
    <t>6PK BRISA ECOFLEX 1 LITRO</t>
  </si>
  <si>
    <t>RACK CILINDROS DE CO2 x 4 NVO</t>
  </si>
  <si>
    <t>2 PK 2CCSO 3L + VASO ROJO</t>
  </si>
  <si>
    <t xml:space="preserve">2 PK 2CCSO 3L + VASO BLANCO </t>
  </si>
  <si>
    <t>3PK CITRUS 1.5L PET</t>
  </si>
  <si>
    <t>3PK(2CCSA 2.5L+1CITRUS 1.5L)</t>
  </si>
  <si>
    <t>2PK (1MNG + 1MRA )946ML TRP</t>
  </si>
  <si>
    <t>2 PACK MANANTIAL 1.5 LTS</t>
  </si>
  <si>
    <t>3PK(2CITRUS2.5L+1CITRUS1.5L)</t>
  </si>
  <si>
    <t>2PK ADES ALM S/EDZ 946ML</t>
  </si>
  <si>
    <t>4PAK MANGO LOCO</t>
  </si>
  <si>
    <t>COCA COLA 2.25L PET(8)EINSTEIN</t>
  </si>
  <si>
    <t>3PK(2CCSO3L+1CCSO1.5L) PET</t>
  </si>
  <si>
    <t>12PK(4MG+3MR+2SP+2MP+1MF)188ML + ITEM</t>
  </si>
  <si>
    <t>3PK(2CCSA 2.5L + 1 CCSA 1.5L)</t>
  </si>
  <si>
    <t>COCA COLA 2.25L PET(8) EINSTEIN</t>
  </si>
  <si>
    <t>*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</si>
  <si>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</si>
  <si>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INVENTARIO PISO</t>
  </si>
  <si>
    <t>Fecha:</t>
  </si>
  <si>
    <t>Producto</t>
  </si>
  <si>
    <t>Descripción</t>
  </si>
  <si>
    <t xml:space="preserve">Cantidad </t>
  </si>
  <si>
    <r>
      <rPr>
        <b/>
        <sz val="72"/>
        <color theme="1"/>
        <rFont val="Book Antiqua"/>
        <family val="1"/>
      </rPr>
      <t>INVENTRAIO ENVASE</t>
    </r>
    <r>
      <rPr>
        <sz val="72"/>
        <color theme="1"/>
        <rFont val="Book Antiqua"/>
        <family val="1"/>
      </rPr>
      <t xml:space="preserve"> </t>
    </r>
  </si>
  <si>
    <t xml:space="preserve">INVENTARIO ENVASE </t>
  </si>
  <si>
    <t xml:space="preserve">CAJAS </t>
  </si>
  <si>
    <t xml:space="preserve">PACAS  </t>
  </si>
  <si>
    <t>PRODUCTO MODIFICAR</t>
  </si>
  <si>
    <t xml:space="preserve">ESTIBAS </t>
  </si>
  <si>
    <t>PISO</t>
  </si>
  <si>
    <t>UND</t>
  </si>
  <si>
    <t>CAJAS</t>
  </si>
  <si>
    <t xml:space="preserve">FECHA </t>
  </si>
  <si>
    <t>FECHA TPM</t>
  </si>
  <si>
    <t>SOLO PRODUCTO</t>
  </si>
  <si>
    <t>SOLO MATERIAL VACIO</t>
  </si>
  <si>
    <t>Material</t>
  </si>
  <si>
    <t>Cantidad Cajas</t>
  </si>
  <si>
    <t>und</t>
  </si>
  <si>
    <t xml:space="preserve">cantidades </t>
  </si>
  <si>
    <t xml:space="preserve">UND </t>
  </si>
  <si>
    <t xml:space="preserve">conversion </t>
  </si>
  <si>
    <t>cantidad</t>
  </si>
  <si>
    <t xml:space="preserve">     ESTIBAS </t>
  </si>
  <si>
    <t>COCA-COLA SO 1 LT NR (12)</t>
  </si>
  <si>
    <t>MANANTIAL  GAS 300 ML VNR(12)</t>
  </si>
  <si>
    <t>FILTRAR</t>
  </si>
  <si>
    <t xml:space="preserve"> INV PISO =</t>
  </si>
  <si>
    <t>HALLS 100S EXT STRONG COL 310GR KTI30(1)</t>
  </si>
  <si>
    <t>CHAO MENTA 350GR KIT 24(1)</t>
  </si>
  <si>
    <t>CHAO FRESA 350GR KIT 24(1)</t>
  </si>
  <si>
    <t>BARRILETE 440GR PAIS KIT18(1)</t>
  </si>
  <si>
    <t>RITZ QUESO 204GR KIT20(1)</t>
  </si>
  <si>
    <t>OREO ROLLO 109GR KIT30(1)</t>
  </si>
  <si>
    <t>ATUN RALL ACEITE 150GR KIT48(1)</t>
  </si>
  <si>
    <t>BOCADO ATUN AGUA 140GR KIT48(1)</t>
  </si>
  <si>
    <t>ESPEJO CCSO 1.5LT PET(12)</t>
  </si>
  <si>
    <t>QUATRO CHOICE 2.5L PET (8)</t>
  </si>
  <si>
    <t>COCA COLA  500ML PET(12)</t>
  </si>
  <si>
    <t>COCA COLA ZERO 500ML PET(12)</t>
  </si>
  <si>
    <t>MONSTER MANGO X12 473ML LAT(12) MQ</t>
  </si>
  <si>
    <t>MONSTER GREEN X12 473ML LAT(12) MQ</t>
  </si>
  <si>
    <t>MONSTER PARADISE 473ML LAT(12) MQ</t>
  </si>
  <si>
    <t>MONSTER ULTRA 473ML LAT(12) MQ</t>
  </si>
  <si>
    <t>MONSTER GREEN LATA 473ML(24)</t>
  </si>
  <si>
    <t>MONSTER ULTRA LATA 4 PACK  473ML(24)</t>
  </si>
  <si>
    <t>MONSTER MANGO  473ML(24)</t>
  </si>
  <si>
    <t>MONSTER PARADAISE 473ML LAT(24)</t>
  </si>
  <si>
    <t>MONSTER PIPELINE PUNCH 473ML LAT(24)</t>
  </si>
  <si>
    <t>FRUTAL MANGO 1.2L PET (6)</t>
  </si>
  <si>
    <t>FRUTAL MANGOFRS 1.2LT PET(6)</t>
  </si>
  <si>
    <t>FRUTAL MORA 1.2LT PET(6)</t>
  </si>
  <si>
    <t>FRESH CITRUS 250ML PET(12)</t>
  </si>
  <si>
    <t xml:space="preserve">6 PACK BRISA SURTIDA </t>
  </si>
  <si>
    <t>6PK (3CT+3MD) 188ML NVO TRP</t>
  </si>
  <si>
    <t>COCA COLA ORIGINAL 269ML LAT(12)</t>
  </si>
  <si>
    <t>BIANCHI CHOCOBLAN 460GR  KIT18(1)</t>
  </si>
  <si>
    <t>BIANCHI CHOCOLATE 460GR KIT18(1)</t>
  </si>
  <si>
    <t>LOKINO CARAMELO 400GR KIT24(1)</t>
  </si>
  <si>
    <t>TRULU 70U MAS VENDID 1.6K KIT6(1)</t>
  </si>
  <si>
    <t>TRULULU MAS VENDIDO1,6KG KIT1(1)</t>
  </si>
  <si>
    <t>TRUL MAXIPK 12U 1.2K TOP KIT6(1)</t>
  </si>
  <si>
    <t>TRUL MAXI+VEND 12U 1.2K KIT6(1)</t>
  </si>
  <si>
    <t>TRULULU SABOR SURT ACIDO 12U 360G KIT12(1)</t>
  </si>
  <si>
    <t>TRIDENT EVUP MENTA31G KIT144(1)</t>
  </si>
  <si>
    <t>OREO REGULAR COL 324GR KIT18(1)</t>
  </si>
  <si>
    <t>BOCADO ATUN ACEIT 140GR KIT 48(1)</t>
  </si>
  <si>
    <t>EXH TRUL 72UX70G 6.7K KIT1(1)</t>
  </si>
  <si>
    <t>ZUCARITAS MEGA 115G KIT54(1)</t>
  </si>
  <si>
    <t>CHOKRISPIS MEGA 115G KIT54(1)</t>
  </si>
  <si>
    <t>FROOT LOOPS MEGA 90GR KIT54(1)</t>
  </si>
  <si>
    <t>ZUCARITAS 240GR KIT30(1)</t>
  </si>
  <si>
    <t>CHOCO KRISPIS 240GR KIT30(1)</t>
  </si>
  <si>
    <t>FROOT LOOPS 200GR KIT30(1)</t>
  </si>
  <si>
    <t>CHOCOLORES SURT 540G KIT12(1)</t>
  </si>
  <si>
    <t>REVOLCON CARAME 250G KIT12(1)</t>
  </si>
  <si>
    <t>ATUN ISABEL ACEI 142G KIT48(1)</t>
  </si>
  <si>
    <t xml:space="preserve">cajas </t>
  </si>
  <si>
    <t>DECIMALES</t>
  </si>
  <si>
    <t>DIAS X VENCER</t>
  </si>
  <si>
    <t>HOY</t>
  </si>
  <si>
    <t>6PACK QUATRO LATA 269ML</t>
  </si>
  <si>
    <t>12PACK QUATRO LATA 269ML</t>
  </si>
  <si>
    <t>6PACK Q4 CC2 LATA 269ML</t>
  </si>
  <si>
    <t>HIELOCO</t>
  </si>
  <si>
    <t>2PK CC2.5 + VASO</t>
  </si>
  <si>
    <t>2PK 1CCSO +Q1.5</t>
  </si>
  <si>
    <t>POWERA ZUL SUPER</t>
  </si>
  <si>
    <t>2PK Q1.5 +SODA1.5</t>
  </si>
  <si>
    <t>FLASHLYTE UVA 625PET(6)</t>
  </si>
  <si>
    <t>FLASHLYTE COCO 625PET(6)</t>
  </si>
  <si>
    <t>FECHA +</t>
  </si>
  <si>
    <t>FRESH PONCHE FRUTAS 1.5 PET(12)</t>
  </si>
  <si>
    <t>FRESH PONCHE FRUTAS 400 PET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</si>
</sst>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[$€-2]\ * #,##0.00_ ;_ [$€-2]\ * \-#,##0.00_ ;_ [$€-2]\ * &quot;-&quot;??_ "/>
    <numFmt numFmtId="166" formatCode="0.0000"/>
    <numFmt numFmtId="167" formatCode="0.00000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72"/>
      <color theme="1"/>
      <name val="Calibri"/>
      <family val="2"/>
      <scheme val="minor"/>
    </font>
    <font>
      <b/>
      <sz val="72"/>
      <name val="Book Antiqua"/>
      <family val="1"/>
    </font>
    <font>
      <sz val="72"/>
      <color theme="1"/>
      <name val="Book Antiqua"/>
      <family val="1"/>
    </font>
    <font>
      <sz val="74"/>
      <color theme="1"/>
      <name val="Calibri"/>
      <family val="2"/>
      <scheme val="minor"/>
    </font>
    <font>
      <b/>
      <sz val="87"/>
      <color theme="1"/>
      <name val="Book Antiqua"/>
      <family val="1"/>
    </font>
    <font>
      <b/>
      <sz val="87"/>
      <color theme="1"/>
      <name val="Calibri"/>
      <family val="2"/>
      <scheme val="minor"/>
    </font>
    <font>
      <b/>
      <sz val="84"/>
      <name val="Book Antiqua"/>
      <family val="1"/>
    </font>
    <font>
      <sz val="84"/>
      <color theme="1"/>
      <name val="Calibri"/>
      <family val="2"/>
      <scheme val="minor"/>
    </font>
    <font>
      <b/>
      <sz val="84"/>
      <color theme="1"/>
      <name val="Book Antiqua"/>
      <family val="1"/>
    </font>
    <font>
      <b/>
      <sz val="86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b/>
      <sz val="80"/>
      <color theme="1"/>
      <name val="Arial"/>
      <family val="2"/>
    </font>
    <font>
      <b/>
      <sz val="74"/>
      <color theme="1"/>
      <name val="Calibri"/>
      <family val="2"/>
      <scheme val="minor"/>
    </font>
    <font>
      <b/>
      <sz val="8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2"/>
      <color indexed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84"/>
      <name val="Book Antiqua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rgb="FF00B050"/>
      <name val="Arial"/>
      <family val="2"/>
    </font>
    <font>
      <b/>
      <sz val="12"/>
      <color theme="0"/>
      <name val="Arial"/>
      <family val="2"/>
    </font>
    <font>
      <b/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</cellStyleXfs>
  <cellXfs count="420">
    <xf numFmtId="0" fontId="0" fillId="0" borderId="0" xfId="0"/>
    <xf numFmtId="0" fontId="2" fillId="0" borderId="0" xfId="0" applyFont="1"/>
    <xf numFmtId="1" fontId="3" fillId="2" borderId="1" xfId="1" applyNumberFormat="1" applyFont="1" applyFill="1" applyBorder="1" applyAlignment="1">
      <alignment horizontal="center"/>
    </xf>
    <xf numFmtId="0" fontId="2" fillId="0" borderId="1" xfId="0" applyFont="1" applyBorder="1"/>
    <xf numFmtId="1" fontId="3" fillId="2" borderId="0" xfId="1" applyNumberFormat="1" applyFont="1" applyFill="1" applyAlignment="1">
      <alignment horizontal="center"/>
    </xf>
    <xf numFmtId="1" fontId="3" fillId="2" borderId="0" xfId="1" applyNumberFormat="1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8" fillId="3" borderId="1" xfId="0" applyFont="1" applyFill="1" applyBorder="1" applyAlignment="1">
      <alignment horizontal="left" vertical="center" wrapText="1"/>
    </xf>
    <xf numFmtId="1" fontId="8" fillId="2" borderId="1" xfId="1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/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/>
    </xf>
    <xf numFmtId="0" fontId="12" fillId="0" borderId="1" xfId="0" applyFont="1" applyBorder="1"/>
    <xf numFmtId="0" fontId="12" fillId="0" borderId="0" xfId="0" applyFont="1"/>
    <xf numFmtId="1" fontId="8" fillId="3" borderId="1" xfId="0" applyNumberFormat="1" applyFont="1" applyFill="1" applyBorder="1" applyAlignment="1">
      <alignment horizontal="left" vertical="center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1" fontId="8" fillId="3" borderId="5" xfId="0" applyNumberFormat="1" applyFont="1" applyFill="1" applyBorder="1" applyAlignment="1">
      <alignment horizontal="left" vertical="center"/>
    </xf>
    <xf numFmtId="1" fontId="8" fillId="0" borderId="6" xfId="1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" fontId="8" fillId="3" borderId="0" xfId="0" applyNumberFormat="1" applyFont="1" applyFill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3" fillId="2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11" xfId="0" applyFont="1" applyBorder="1"/>
    <xf numFmtId="1" fontId="8" fillId="2" borderId="11" xfId="1" applyNumberFormat="1" applyFont="1" applyFill="1" applyBorder="1" applyAlignment="1">
      <alignment horizontal="center"/>
    </xf>
    <xf numFmtId="0" fontId="8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9" fillId="0" borderId="11" xfId="0" applyFont="1" applyBorder="1"/>
    <xf numFmtId="1" fontId="8" fillId="2" borderId="0" xfId="1" applyNumberFormat="1" applyFont="1" applyFill="1" applyAlignment="1">
      <alignment horizontal="center"/>
    </xf>
    <xf numFmtId="1" fontId="10" fillId="3" borderId="4" xfId="0" applyNumberFormat="1" applyFont="1" applyFill="1" applyBorder="1" applyAlignment="1" applyProtection="1">
      <alignment horizontal="center"/>
      <protection locked="0"/>
    </xf>
    <xf numFmtId="1" fontId="8" fillId="2" borderId="2" xfId="1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1" fontId="10" fillId="3" borderId="2" xfId="0" applyNumberFormat="1" applyFont="1" applyFill="1" applyBorder="1" applyAlignment="1" applyProtection="1">
      <alignment horizontal="center"/>
      <protection locked="0"/>
    </xf>
    <xf numFmtId="1" fontId="8" fillId="3" borderId="3" xfId="0" applyNumberFormat="1" applyFont="1" applyFill="1" applyBorder="1" applyAlignment="1">
      <alignment horizontal="left" vertical="center"/>
    </xf>
    <xf numFmtId="1" fontId="8" fillId="3" borderId="3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" fontId="8" fillId="3" borderId="0" xfId="1" applyNumberFormat="1" applyFont="1" applyFill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left" vertical="center"/>
    </xf>
    <xf numFmtId="1" fontId="8" fillId="6" borderId="1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" fontId="8" fillId="2" borderId="3" xfId="1" applyNumberFormat="1" applyFont="1" applyFill="1" applyBorder="1" applyAlignment="1">
      <alignment horizontal="center"/>
    </xf>
    <xf numFmtId="1" fontId="8" fillId="2" borderId="1" xfId="1" applyNumberFormat="1" applyFont="1" applyFill="1" applyBorder="1" applyAlignment="1">
      <alignment horizontal="center" vertical="center" wrapText="1"/>
    </xf>
    <xf numFmtId="1" fontId="8" fillId="6" borderId="1" xfId="1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" fontId="8" fillId="6" borderId="1" xfId="1" applyNumberFormat="1" applyFont="1" applyFill="1" applyBorder="1" applyAlignment="1">
      <alignment horizontal="center" wrapText="1"/>
    </xf>
    <xf numFmtId="1" fontId="8" fillId="6" borderId="1" xfId="1" applyNumberFormat="1" applyFont="1" applyFill="1" applyBorder="1" applyAlignment="1">
      <alignment horizontal="center"/>
    </xf>
    <xf numFmtId="1" fontId="8" fillId="6" borderId="1" xfId="1" quotePrefix="1" applyNumberFormat="1" applyFont="1" applyFill="1" applyBorder="1" applyAlignment="1">
      <alignment horizontal="center"/>
    </xf>
    <xf numFmtId="1" fontId="8" fillId="6" borderId="1" xfId="1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1" fontId="8" fillId="6" borderId="6" xfId="1" applyNumberFormat="1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 vertical="center"/>
    </xf>
    <xf numFmtId="1" fontId="8" fillId="6" borderId="2" xfId="1" applyNumberFormat="1" applyFont="1" applyFill="1" applyBorder="1" applyAlignment="1">
      <alignment horizontal="center"/>
    </xf>
    <xf numFmtId="1" fontId="8" fillId="6" borderId="5" xfId="1" applyNumberFormat="1" applyFont="1" applyFill="1" applyBorder="1" applyAlignment="1">
      <alignment horizontal="center"/>
    </xf>
    <xf numFmtId="0" fontId="8" fillId="6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 applyProtection="1">
      <alignment horizontal="center"/>
      <protection locked="0"/>
    </xf>
    <xf numFmtId="1" fontId="10" fillId="6" borderId="4" xfId="0" applyNumberFormat="1" applyFont="1" applyFill="1" applyBorder="1" applyAlignment="1" applyProtection="1">
      <alignment horizontal="center"/>
      <protection locked="0"/>
    </xf>
    <xf numFmtId="1" fontId="8" fillId="6" borderId="3" xfId="1" applyNumberFormat="1" applyFont="1" applyFill="1" applyBorder="1" applyAlignment="1">
      <alignment horizontal="center"/>
    </xf>
    <xf numFmtId="1" fontId="8" fillId="6" borderId="7" xfId="1" applyNumberFormat="1" applyFont="1" applyFill="1" applyBorder="1" applyAlignment="1">
      <alignment horizontal="center"/>
    </xf>
    <xf numFmtId="1" fontId="10" fillId="6" borderId="13" xfId="0" applyNumberFormat="1" applyFont="1" applyFill="1" applyBorder="1" applyAlignment="1" applyProtection="1">
      <alignment horizontal="center"/>
      <protection locked="0"/>
    </xf>
    <xf numFmtId="1" fontId="10" fillId="6" borderId="3" xfId="0" applyNumberFormat="1" applyFont="1" applyFill="1" applyBorder="1" applyAlignment="1" applyProtection="1">
      <alignment horizontal="center"/>
      <protection locked="0"/>
    </xf>
    <xf numFmtId="1" fontId="10" fillId="6" borderId="6" xfId="0" applyNumberFormat="1" applyFont="1" applyFill="1" applyBorder="1" applyAlignment="1" applyProtection="1">
      <alignment horizontal="center"/>
      <protection locked="0"/>
    </xf>
    <xf numFmtId="1" fontId="8" fillId="6" borderId="6" xfId="0" applyNumberFormat="1" applyFont="1" applyFill="1" applyBorder="1" applyAlignment="1">
      <alignment horizontal="left" vertical="center"/>
    </xf>
    <xf numFmtId="1" fontId="8" fillId="6" borderId="6" xfId="0" applyNumberFormat="1" applyFont="1" applyFill="1" applyBorder="1" applyAlignment="1">
      <alignment horizontal="center" vertical="center"/>
    </xf>
    <xf numFmtId="1" fontId="8" fillId="2" borderId="5" xfId="1" applyNumberFormat="1" applyFont="1" applyFill="1" applyBorder="1" applyAlignment="1">
      <alignment horizontal="center" vertical="center" wrapText="1"/>
    </xf>
    <xf numFmtId="1" fontId="8" fillId="2" borderId="0" xfId="1" applyNumberFormat="1" applyFont="1" applyFill="1" applyAlignment="1">
      <alignment horizontal="center" vertical="center" wrapText="1"/>
    </xf>
    <xf numFmtId="1" fontId="8" fillId="2" borderId="0" xfId="1" applyNumberFormat="1" applyFont="1" applyFill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1" fontId="8" fillId="3" borderId="1" xfId="1" applyNumberFormat="1" applyFont="1" applyFill="1" applyBorder="1" applyAlignment="1">
      <alignment horizontal="center" wrapText="1"/>
    </xf>
    <xf numFmtId="0" fontId="5" fillId="3" borderId="0" xfId="0" applyFont="1" applyFill="1"/>
    <xf numFmtId="0" fontId="12" fillId="3" borderId="0" xfId="0" applyFont="1" applyFill="1"/>
    <xf numFmtId="0" fontId="9" fillId="3" borderId="0" xfId="0" applyFont="1" applyFill="1"/>
    <xf numFmtId="1" fontId="8" fillId="3" borderId="6" xfId="1" applyNumberFormat="1" applyFont="1" applyFill="1" applyBorder="1" applyAlignment="1">
      <alignment horizontal="center"/>
    </xf>
    <xf numFmtId="1" fontId="8" fillId="3" borderId="2" xfId="1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" fontId="8" fillId="3" borderId="5" xfId="1" applyNumberFormat="1" applyFont="1" applyFill="1" applyBorder="1" applyAlignment="1">
      <alignment horizontal="center"/>
    </xf>
    <xf numFmtId="1" fontId="8" fillId="3" borderId="3" xfId="1" applyNumberFormat="1" applyFont="1" applyFill="1" applyBorder="1" applyAlignment="1">
      <alignment horizontal="center"/>
    </xf>
    <xf numFmtId="1" fontId="8" fillId="3" borderId="7" xfId="1" applyNumberFormat="1" applyFont="1" applyFill="1" applyBorder="1" applyAlignment="1">
      <alignment horizontal="center"/>
    </xf>
    <xf numFmtId="1" fontId="10" fillId="3" borderId="3" xfId="0" applyNumberFormat="1" applyFont="1" applyFill="1" applyBorder="1" applyAlignment="1" applyProtection="1">
      <alignment horizontal="center"/>
      <protection locked="0"/>
    </xf>
    <xf numFmtId="1" fontId="3" fillId="6" borderId="1" xfId="1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1" fontId="3" fillId="3" borderId="0" xfId="1" applyNumberFormat="1" applyFont="1" applyFill="1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" fontId="8" fillId="2" borderId="3" xfId="1" applyNumberFormat="1" applyFont="1" applyFill="1" applyBorder="1" applyAlignment="1">
      <alignment horizontal="left" vertical="center" wrapText="1"/>
    </xf>
    <xf numFmtId="1" fontId="3" fillId="2" borderId="0" xfId="1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14" fontId="22" fillId="2" borderId="0" xfId="0" applyNumberFormat="1" applyFont="1" applyFill="1" applyAlignment="1">
      <alignment horizontal="left" vertical="center"/>
    </xf>
    <xf numFmtId="20" fontId="22" fillId="2" borderId="0" xfId="0" applyNumberFormat="1" applyFont="1" applyFill="1" applyAlignment="1">
      <alignment horizontal="left" vertical="center"/>
    </xf>
    <xf numFmtId="0" fontId="23" fillId="2" borderId="0" xfId="0" applyFont="1" applyFill="1"/>
    <xf numFmtId="0" fontId="20" fillId="7" borderId="0" xfId="0" applyFont="1" applyFill="1"/>
    <xf numFmtId="1" fontId="26" fillId="0" borderId="14" xfId="0" applyNumberFormat="1" applyFont="1" applyBorder="1" applyAlignment="1">
      <alignment horizontal="center"/>
    </xf>
    <xf numFmtId="0" fontId="27" fillId="0" borderId="0" xfId="0" applyFont="1"/>
    <xf numFmtId="14" fontId="26" fillId="0" borderId="14" xfId="0" applyNumberFormat="1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" fontId="0" fillId="0" borderId="0" xfId="4" applyNumberFormat="1" applyFont="1" applyBorder="1"/>
    <xf numFmtId="1" fontId="0" fillId="0" borderId="0" xfId="4" applyNumberFormat="1" applyFont="1"/>
    <xf numFmtId="0" fontId="16" fillId="0" borderId="0" xfId="0" applyFont="1" applyAlignment="1">
      <alignment horizontal="center"/>
    </xf>
    <xf numFmtId="1" fontId="1" fillId="0" borderId="0" xfId="0" applyNumberFormat="1" applyFon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" fontId="8" fillId="9" borderId="3" xfId="1" applyNumberFormat="1" applyFont="1" applyFill="1" applyBorder="1" applyAlignment="1">
      <alignment horizontal="center"/>
    </xf>
    <xf numFmtId="0" fontId="15" fillId="9" borderId="7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66" fontId="0" fillId="0" borderId="0" xfId="0" applyNumberFormat="1"/>
    <xf numFmtId="0" fontId="19" fillId="9" borderId="0" xfId="0" applyFont="1" applyFill="1" applyAlignment="1">
      <alignment horizontal="center" vertical="center"/>
    </xf>
    <xf numFmtId="1" fontId="19" fillId="9" borderId="0" xfId="0" applyNumberFormat="1" applyFont="1" applyFill="1" applyAlignment="1">
      <alignment horizontal="center" vertical="center"/>
    </xf>
    <xf numFmtId="0" fontId="20" fillId="9" borderId="0" xfId="0" applyFont="1" applyFill="1"/>
    <xf numFmtId="0" fontId="21" fillId="9" borderId="0" xfId="0" applyFont="1" applyFill="1" applyAlignment="1">
      <alignment horizontal="center" vertical="center"/>
    </xf>
    <xf numFmtId="1" fontId="21" fillId="9" borderId="0" xfId="0" applyNumberFormat="1" applyFont="1" applyFill="1" applyAlignment="1">
      <alignment horizontal="center" vertical="center"/>
    </xf>
    <xf numFmtId="0" fontId="28" fillId="3" borderId="0" xfId="0" applyFont="1" applyFill="1" applyAlignment="1">
      <alignment vertical="center"/>
    </xf>
    <xf numFmtId="0" fontId="28" fillId="8" borderId="17" xfId="0" applyFont="1" applyFill="1" applyBorder="1" applyAlignment="1">
      <alignment horizontal="center"/>
    </xf>
    <xf numFmtId="0" fontId="28" fillId="8" borderId="18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7" fontId="30" fillId="11" borderId="5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1" fontId="30" fillId="0" borderId="5" xfId="0" applyNumberFormat="1" applyFont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8" fillId="8" borderId="15" xfId="0" applyFont="1" applyFill="1" applyBorder="1" applyAlignment="1">
      <alignment horizontal="center"/>
    </xf>
    <xf numFmtId="0" fontId="28" fillId="8" borderId="20" xfId="0" applyFont="1" applyFill="1" applyBorder="1" applyAlignment="1">
      <alignment horizontal="center"/>
    </xf>
    <xf numFmtId="1" fontId="6" fillId="9" borderId="1" xfId="0" applyNumberFormat="1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4" fontId="9" fillId="0" borderId="1" xfId="3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2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29" fillId="3" borderId="13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1" fontId="8" fillId="2" borderId="27" xfId="1" applyNumberFormat="1" applyFont="1" applyFill="1" applyBorder="1" applyAlignment="1">
      <alignment horizontal="center"/>
    </xf>
    <xf numFmtId="1" fontId="8" fillId="2" borderId="28" xfId="1" applyNumberFormat="1" applyFont="1" applyFill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9" fillId="0" borderId="22" xfId="0" applyNumberFormat="1" applyFont="1" applyBorder="1" applyAlignment="1">
      <alignment horizontal="center" wrapText="1"/>
    </xf>
    <xf numFmtId="14" fontId="9" fillId="0" borderId="22" xfId="0" applyNumberFormat="1" applyFont="1" applyBorder="1" applyAlignment="1">
      <alignment horizontal="center"/>
    </xf>
    <xf numFmtId="14" fontId="9" fillId="0" borderId="24" xfId="0" applyNumberFormat="1" applyFont="1" applyBorder="1" applyAlignment="1">
      <alignment horizontal="center"/>
    </xf>
    <xf numFmtId="14" fontId="9" fillId="0" borderId="26" xfId="0" applyNumberFormat="1" applyFont="1" applyBorder="1" applyAlignment="1">
      <alignment horizontal="center"/>
    </xf>
    <xf numFmtId="14" fontId="8" fillId="3" borderId="28" xfId="0" applyNumberFormat="1" applyFont="1" applyFill="1" applyBorder="1" applyAlignment="1">
      <alignment horizontal="center" vertical="center"/>
    </xf>
    <xf numFmtId="14" fontId="7" fillId="4" borderId="13" xfId="0" applyNumberFormat="1" applyFont="1" applyFill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/>
    </xf>
    <xf numFmtId="14" fontId="9" fillId="0" borderId="28" xfId="0" applyNumberFormat="1" applyFont="1" applyBorder="1" applyAlignment="1">
      <alignment horizontal="center"/>
    </xf>
    <xf numFmtId="14" fontId="9" fillId="0" borderId="32" xfId="0" applyNumberFormat="1" applyFont="1" applyBorder="1" applyAlignment="1">
      <alignment horizontal="center"/>
    </xf>
    <xf numFmtId="14" fontId="5" fillId="0" borderId="24" xfId="0" applyNumberFormat="1" applyFont="1" applyBorder="1" applyAlignment="1">
      <alignment horizontal="center"/>
    </xf>
    <xf numFmtId="14" fontId="8" fillId="2" borderId="28" xfId="1" applyNumberFormat="1" applyFont="1" applyFill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14" fontId="2" fillId="0" borderId="22" xfId="0" applyNumberFormat="1" applyFont="1" applyBorder="1" applyAlignment="1">
      <alignment horizontal="center"/>
    </xf>
    <xf numFmtId="14" fontId="2" fillId="0" borderId="33" xfId="0" applyNumberFormat="1" applyFont="1" applyBorder="1" applyAlignment="1">
      <alignment horizontal="center"/>
    </xf>
    <xf numFmtId="1" fontId="6" fillId="4" borderId="2" xfId="0" applyNumberFormat="1" applyFont="1" applyFill="1" applyBorder="1" applyAlignment="1">
      <alignment horizontal="left" vertical="center"/>
    </xf>
    <xf numFmtId="1" fontId="8" fillId="2" borderId="2" xfId="1" applyNumberFormat="1" applyFont="1" applyFill="1" applyBorder="1" applyAlignment="1">
      <alignment horizontal="left" vertical="center" wrapText="1"/>
    </xf>
    <xf numFmtId="1" fontId="8" fillId="2" borderId="7" xfId="1" applyNumberFormat="1" applyFont="1" applyFill="1" applyBorder="1" applyAlignment="1">
      <alignment horizontal="left" vertical="center" wrapText="1"/>
    </xf>
    <xf numFmtId="1" fontId="8" fillId="2" borderId="10" xfId="1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1" fontId="8" fillId="2" borderId="2" xfId="1" applyNumberFormat="1" applyFont="1" applyFill="1" applyBorder="1" applyAlignment="1">
      <alignment horizontal="left" vertical="center"/>
    </xf>
    <xf numFmtId="1" fontId="8" fillId="0" borderId="7" xfId="1" applyNumberFormat="1" applyFont="1" applyBorder="1" applyAlignment="1">
      <alignment horizontal="left" vertical="center"/>
    </xf>
    <xf numFmtId="1" fontId="8" fillId="0" borderId="7" xfId="1" applyNumberFormat="1" applyFont="1" applyBorder="1" applyAlignment="1">
      <alignment horizontal="center"/>
    </xf>
    <xf numFmtId="1" fontId="8" fillId="10" borderId="7" xfId="1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left" vertical="center"/>
    </xf>
    <xf numFmtId="1" fontId="8" fillId="2" borderId="13" xfId="1" applyNumberFormat="1" applyFont="1" applyFill="1" applyBorder="1" applyAlignment="1">
      <alignment horizontal="center" vertical="center" wrapText="1"/>
    </xf>
    <xf numFmtId="1" fontId="8" fillId="2" borderId="22" xfId="1" applyNumberFormat="1" applyFont="1" applyFill="1" applyBorder="1" applyAlignment="1">
      <alignment horizontal="center" vertical="center" wrapText="1"/>
    </xf>
    <xf numFmtId="1" fontId="8" fillId="2" borderId="29" xfId="1" applyNumberFormat="1" applyFont="1" applyFill="1" applyBorder="1" applyAlignment="1">
      <alignment horizontal="center" vertical="center" wrapText="1"/>
    </xf>
    <xf numFmtId="1" fontId="8" fillId="2" borderId="27" xfId="1" applyNumberFormat="1" applyFont="1" applyFill="1" applyBorder="1" applyAlignment="1">
      <alignment horizontal="center" vertical="center" wrapText="1"/>
    </xf>
    <xf numFmtId="1" fontId="8" fillId="2" borderId="31" xfId="1" applyNumberFormat="1" applyFont="1" applyFill="1" applyBorder="1" applyAlignment="1">
      <alignment horizontal="center" vertical="center" wrapText="1"/>
    </xf>
    <xf numFmtId="1" fontId="8" fillId="2" borderId="23" xfId="1" applyNumberFormat="1" applyFont="1" applyFill="1" applyBorder="1" applyAlignment="1">
      <alignment horizontal="center" vertical="center" wrapText="1"/>
    </xf>
    <xf numFmtId="1" fontId="6" fillId="4" borderId="27" xfId="0" applyNumberFormat="1" applyFont="1" applyFill="1" applyBorder="1" applyAlignment="1">
      <alignment horizontal="center" vertical="center"/>
    </xf>
    <xf numFmtId="1" fontId="17" fillId="4" borderId="22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1" fontId="8" fillId="2" borderId="13" xfId="1" applyNumberFormat="1" applyFont="1" applyFill="1" applyBorder="1" applyAlignment="1">
      <alignment horizontal="center"/>
    </xf>
    <xf numFmtId="1" fontId="8" fillId="0" borderId="29" xfId="1" applyNumberFormat="1" applyFont="1" applyBorder="1" applyAlignment="1">
      <alignment horizontal="center"/>
    </xf>
    <xf numFmtId="1" fontId="8" fillId="2" borderId="32" xfId="1" applyNumberFormat="1" applyFont="1" applyFill="1" applyBorder="1" applyAlignment="1">
      <alignment horizontal="center" vertical="center" wrapText="1"/>
    </xf>
    <xf numFmtId="0" fontId="29" fillId="3" borderId="3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0" fontId="9" fillId="0" borderId="32" xfId="0" applyFont="1" applyBorder="1" applyAlignment="1">
      <alignment horizontal="center" wrapText="1"/>
    </xf>
    <xf numFmtId="0" fontId="9" fillId="0" borderId="3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14" fontId="9" fillId="0" borderId="31" xfId="0" applyNumberFormat="1" applyFont="1" applyBorder="1" applyAlignment="1">
      <alignment horizontal="center" wrapText="1"/>
    </xf>
    <xf numFmtId="1" fontId="6" fillId="4" borderId="18" xfId="0" applyNumberFormat="1" applyFont="1" applyFill="1" applyBorder="1" applyAlignment="1">
      <alignment horizontal="left" vertical="center"/>
    </xf>
    <xf numFmtId="1" fontId="6" fillId="4" borderId="15" xfId="0" applyNumberFormat="1" applyFont="1" applyFill="1" applyBorder="1" applyAlignment="1">
      <alignment horizontal="center" vertical="center"/>
    </xf>
    <xf numFmtId="0" fontId="14" fillId="4" borderId="36" xfId="0" applyFont="1" applyFill="1" applyBorder="1" applyAlignment="1">
      <alignment horizontal="center" vertical="center"/>
    </xf>
    <xf numFmtId="1" fontId="17" fillId="4" borderId="21" xfId="0" applyNumberFormat="1" applyFont="1" applyFill="1" applyBorder="1" applyAlignment="1">
      <alignment horizontal="center" vertical="center"/>
    </xf>
    <xf numFmtId="14" fontId="7" fillId="4" borderId="17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" fontId="8" fillId="2" borderId="28" xfId="1" applyNumberFormat="1" applyFont="1" applyFill="1" applyBorder="1" applyAlignment="1">
      <alignment horizontal="center" vertical="center" wrapText="1"/>
    </xf>
    <xf numFmtId="1" fontId="8" fillId="2" borderId="6" xfId="1" applyNumberFormat="1" applyFont="1" applyFill="1" applyBorder="1" applyAlignment="1">
      <alignment horizontal="center" vertical="center" wrapText="1"/>
    </xf>
    <xf numFmtId="1" fontId="8" fillId="2" borderId="3" xfId="1" applyNumberFormat="1" applyFont="1" applyFill="1" applyBorder="1" applyAlignment="1">
      <alignment horizontal="center" vertical="center" wrapText="1"/>
    </xf>
    <xf numFmtId="1" fontId="8" fillId="2" borderId="4" xfId="1" applyNumberFormat="1" applyFont="1" applyFill="1" applyBorder="1" applyAlignment="1">
      <alignment horizontal="center"/>
    </xf>
    <xf numFmtId="1" fontId="8" fillId="2" borderId="6" xfId="1" applyNumberFormat="1" applyFont="1" applyFill="1" applyBorder="1" applyAlignment="1">
      <alignment horizontal="center"/>
    </xf>
    <xf numFmtId="1" fontId="8" fillId="2" borderId="5" xfId="1" applyNumberFormat="1" applyFont="1" applyFill="1" applyBorder="1" applyAlignment="1">
      <alignment horizontal="center"/>
    </xf>
    <xf numFmtId="1" fontId="8" fillId="0" borderId="38" xfId="1" applyNumberFormat="1" applyFont="1" applyBorder="1" applyAlignment="1">
      <alignment horizontal="center"/>
    </xf>
    <xf numFmtId="1" fontId="8" fillId="0" borderId="9" xfId="1" applyNumberFormat="1" applyFont="1" applyBorder="1" applyAlignment="1">
      <alignment horizontal="center"/>
    </xf>
    <xf numFmtId="1" fontId="8" fillId="0" borderId="39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1" fontId="8" fillId="3" borderId="40" xfId="0" applyNumberFormat="1" applyFont="1" applyFill="1" applyBorder="1" applyAlignment="1">
      <alignment horizontal="center" vertical="center"/>
    </xf>
    <xf numFmtId="0" fontId="12" fillId="0" borderId="41" xfId="0" applyFont="1" applyBorder="1"/>
    <xf numFmtId="0" fontId="20" fillId="9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1" fontId="24" fillId="7" borderId="0" xfId="4" applyNumberFormat="1" applyFont="1" applyFill="1" applyAlignment="1">
      <alignment horizontal="center" vertical="center"/>
    </xf>
    <xf numFmtId="14" fontId="0" fillId="0" borderId="1" xfId="0" applyNumberFormat="1" applyBorder="1"/>
    <xf numFmtId="1" fontId="6" fillId="9" borderId="17" xfId="0" applyNumberFormat="1" applyFont="1" applyFill="1" applyBorder="1" applyAlignment="1">
      <alignment horizontal="center" vertical="center"/>
    </xf>
    <xf numFmtId="1" fontId="8" fillId="10" borderId="6" xfId="1" applyNumberFormat="1" applyFont="1" applyFill="1" applyBorder="1" applyAlignment="1">
      <alignment horizontal="center" vertical="center"/>
    </xf>
    <xf numFmtId="1" fontId="34" fillId="9" borderId="20" xfId="4" applyNumberFormat="1" applyFont="1" applyFill="1" applyBorder="1" applyAlignment="1">
      <alignment horizontal="center" vertical="center"/>
    </xf>
    <xf numFmtId="0" fontId="0" fillId="6" borderId="0" xfId="0" applyFill="1"/>
    <xf numFmtId="1" fontId="0" fillId="0" borderId="1" xfId="0" applyNumberFormat="1" applyBorder="1"/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66" fontId="31" fillId="5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" fontId="8" fillId="0" borderId="6" xfId="1" applyNumberFormat="1" applyFont="1" applyBorder="1" applyAlignment="1">
      <alignment horizontal="left"/>
    </xf>
    <xf numFmtId="1" fontId="0" fillId="0" borderId="0" xfId="0" applyNumberFormat="1"/>
    <xf numFmtId="0" fontId="0" fillId="9" borderId="0" xfId="0" applyFill="1"/>
    <xf numFmtId="0" fontId="15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" fontId="25" fillId="2" borderId="1" xfId="0" applyNumberFormat="1" applyFont="1" applyFill="1" applyBorder="1" applyAlignment="1">
      <alignment horizontal="center"/>
    </xf>
    <xf numFmtId="1" fontId="1" fillId="6" borderId="1" xfId="0" applyNumberFormat="1" applyFont="1" applyFill="1" applyBorder="1"/>
    <xf numFmtId="0" fontId="1" fillId="6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7" fillId="4" borderId="43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/>
    </xf>
    <xf numFmtId="166" fontId="15" fillId="0" borderId="11" xfId="0" applyNumberFormat="1" applyFont="1" applyBorder="1" applyAlignment="1">
      <alignment horizontal="center" wrapText="1"/>
    </xf>
    <xf numFmtId="0" fontId="7" fillId="5" borderId="43" xfId="0" applyFont="1" applyFill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wrapText="1"/>
    </xf>
    <xf numFmtId="1" fontId="15" fillId="5" borderId="5" xfId="0" applyNumberFormat="1" applyFont="1" applyFill="1" applyBorder="1" applyAlignment="1">
      <alignment horizontal="center" wrapText="1"/>
    </xf>
    <xf numFmtId="0" fontId="16" fillId="5" borderId="42" xfId="0" applyFont="1" applyFill="1" applyBorder="1" applyAlignment="1">
      <alignment horizontal="center"/>
    </xf>
    <xf numFmtId="0" fontId="16" fillId="5" borderId="39" xfId="0" applyFont="1" applyFill="1" applyBorder="1" applyAlignment="1">
      <alignment horizontal="center"/>
    </xf>
    <xf numFmtId="0" fontId="35" fillId="5" borderId="37" xfId="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wrapText="1"/>
    </xf>
    <xf numFmtId="14" fontId="9" fillId="0" borderId="3" xfId="0" applyNumberFormat="1" applyFont="1" applyBorder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14" fontId="9" fillId="0" borderId="3" xfId="0" applyNumberFormat="1" applyFont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0" borderId="8" xfId="0" applyNumberFormat="1" applyFont="1" applyBorder="1" applyAlignment="1">
      <alignment horizontal="center"/>
    </xf>
    <xf numFmtId="14" fontId="9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4" fontId="8" fillId="2" borderId="3" xfId="1" applyNumberFormat="1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44" xfId="0" applyNumberFormat="1" applyFont="1" applyBorder="1" applyAlignment="1">
      <alignment horizontal="center"/>
    </xf>
    <xf numFmtId="14" fontId="7" fillId="4" borderId="18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/>
    </xf>
    <xf numFmtId="14" fontId="9" fillId="0" borderId="7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45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14" fontId="7" fillId="8" borderId="1" xfId="0" applyNumberFormat="1" applyFont="1" applyFill="1" applyBorder="1" applyAlignment="1">
      <alignment horizontal="center" vertical="center"/>
    </xf>
    <xf numFmtId="14" fontId="16" fillId="4" borderId="17" xfId="0" applyNumberFormat="1" applyFont="1" applyFill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wrapText="1"/>
    </xf>
    <xf numFmtId="14" fontId="9" fillId="0" borderId="12" xfId="0" applyNumberFormat="1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/>
    </xf>
    <xf numFmtId="0" fontId="3" fillId="6" borderId="5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1" fontId="6" fillId="4" borderId="13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22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1" fontId="6" fillId="4" borderId="17" xfId="0" applyNumberFormat="1" applyFont="1" applyFill="1" applyBorder="1" applyAlignment="1">
      <alignment horizontal="left" vertical="center"/>
    </xf>
    <xf numFmtId="1" fontId="6" fillId="4" borderId="36" xfId="0" applyNumberFormat="1" applyFont="1" applyFill="1" applyBorder="1" applyAlignment="1">
      <alignment horizontal="left" vertical="center"/>
    </xf>
    <xf numFmtId="1" fontId="6" fillId="4" borderId="21" xfId="0" applyNumberFormat="1" applyFont="1" applyFill="1" applyBorder="1" applyAlignment="1">
      <alignment horizontal="left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8" fillId="8" borderId="17" xfId="0" applyFont="1" applyFill="1" applyBorder="1" applyAlignment="1">
      <alignment horizontal="center" vertical="center"/>
    </xf>
    <xf numFmtId="0" fontId="28" fillId="8" borderId="21" xfId="0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0" fontId="28" fillId="8" borderId="16" xfId="0" applyFont="1" applyFill="1" applyBorder="1" applyAlignment="1">
      <alignment horizontal="center" vertical="center"/>
    </xf>
    <xf numFmtId="0" fontId="28" fillId="3" borderId="11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</cellXfs>
  <cellStyles count="6">
    <cellStyle name="Euro" xfId="2" xr:uid="{00000000-0005-0000-0000-000000000000}"/>
    <cellStyle name="Millares" xfId="4" builtinId="3"/>
    <cellStyle name="Millares 2" xfId="3" xr:uid="{00000000-0005-0000-0000-000002000000}"/>
    <cellStyle name="Normal" xfId="0" builtinId="0"/>
    <cellStyle name="Normal 2" xfId="1" xr:uid="{00000000-0005-0000-0000-000004000000}"/>
    <cellStyle name="Normal 3" xfId="5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1914525</xdr:colOff>
      <xdr:row>0</xdr:row>
      <xdr:rowOff>94690</xdr:rowOff>
    </xdr:from>
    <xdr:to>
      <xdr:col>2</xdr:col>
      <xdr:colOff>276225</xdr:colOff>
      <xdr:row>2</xdr:row>
      <xdr:rowOff>177053</xdr:rowOff>
    </xdr:to>
    <xdr:pic>
      <xdr:nvPicPr>
        <xdr:cNvPr id="3" name="Picture 40" descr="Logo Femsa_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94690"/>
          <a:ext cx="1019175" cy="539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247650</xdr:colOff>
      <xdr:row>0</xdr:row>
      <xdr:rowOff>97368</xdr:rowOff>
    </xdr:from>
    <xdr:to>
      <xdr:col>4</xdr:col>
      <xdr:colOff>1257300</xdr:colOff>
      <xdr:row>2</xdr:row>
      <xdr:rowOff>201084</xdr:rowOff>
    </xdr:to>
    <xdr:pic>
      <xdr:nvPicPr>
        <xdr:cNvPr id="4" name="Picture 3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7368"/>
          <a:ext cx="1009650" cy="56091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490"/>
  <sheetViews>
    <sheetView zoomScale="19" zoomScaleNormal="19" workbookViewId="0">
      <pane ySplit="1" topLeftCell="A2" activePane="bottomLeft" state="frozen"/>
      <selection pane="bottomLeft" activeCell="C1" sqref="C1"/>
    </sheetView>
  </sheetViews>
  <sheetFormatPr baseColWidth="10" defaultColWidth="11.44140625" defaultRowHeight="102" x14ac:dyDescent="1.85"/>
  <cols>
    <col min="1" max="1" width="84.44140625" style="6" bestFit="1" customWidth="1"/>
    <col min="2" max="2" width="254.77734375" style="6" customWidth="1"/>
    <col min="3" max="3" width="55.88671875" style="40" bestFit="1" customWidth="1"/>
    <col min="4" max="4" width="31.5546875" style="38" bestFit="1" customWidth="1"/>
    <col min="5" max="5" width="48" style="38" customWidth="1"/>
    <col min="6" max="6" width="17.77734375" style="38" customWidth="1"/>
    <col min="7" max="7" width="84.44140625" style="19" customWidth="1"/>
    <col min="8" max="8" width="255.5546875" style="1" customWidth="1"/>
    <col min="9" max="9" width="66.77734375" style="1" customWidth="1"/>
    <col min="10" max="11" width="38.109375" style="1" customWidth="1"/>
    <col min="12" max="16384" width="11.44140625" style="1"/>
  </cols>
  <sheetData>
    <row r="1" spans="1:11" s="7" customFormat="1" ht="142.5" customHeight="1" x14ac:dyDescent="1.7">
      <c r="A1" s="204" t="s">
        <v>0</v>
      </c>
      <c r="B1" s="204" t="s">
        <v>407</v>
      </c>
      <c r="C1" s="205" t="s">
        <v>114</v>
      </c>
      <c r="D1" s="170" t="s">
        <v>115</v>
      </c>
      <c r="E1" s="170" t="s">
        <v>405</v>
      </c>
      <c r="F1" s="170"/>
      <c r="G1" s="204" t="s">
        <v>0</v>
      </c>
      <c r="H1" s="204" t="s">
        <v>407</v>
      </c>
      <c r="I1" s="205" t="s">
        <v>114</v>
      </c>
      <c r="J1" s="206" t="s">
        <v>115</v>
      </c>
      <c r="K1" s="170"/>
    </row>
    <row r="2" spans="1:11" s="8" customFormat="1" ht="195.75" customHeight="1" x14ac:dyDescent="1.7">
      <c r="A2" s="73">
        <v>160052</v>
      </c>
      <c r="B2" s="74" t="s">
        <v>5</v>
      </c>
      <c r="C2" s="75">
        <v>45</v>
      </c>
      <c r="D2" s="76">
        <v>9</v>
      </c>
      <c r="E2" s="76">
        <v>30</v>
      </c>
      <c r="F2" s="171"/>
      <c r="G2" s="73">
        <v>160052</v>
      </c>
      <c r="H2" s="74" t="s">
        <v>5</v>
      </c>
      <c r="I2" s="75">
        <v>45</v>
      </c>
      <c r="J2" s="159">
        <v>9</v>
      </c>
      <c r="K2" s="76">
        <v>30</v>
      </c>
    </row>
    <row r="3" spans="1:11" s="8" customFormat="1" ht="213.6" x14ac:dyDescent="1.9">
      <c r="A3" s="77"/>
      <c r="B3" s="74"/>
      <c r="C3" s="75">
        <v>45</v>
      </c>
      <c r="D3" s="76">
        <v>9</v>
      </c>
      <c r="E3" s="76">
        <v>30</v>
      </c>
      <c r="F3" s="171"/>
      <c r="G3" s="106">
        <v>160646</v>
      </c>
      <c r="H3" s="9" t="s">
        <v>170</v>
      </c>
      <c r="I3" s="25">
        <v>45</v>
      </c>
      <c r="J3" s="160">
        <v>9</v>
      </c>
      <c r="K3" s="76">
        <v>1</v>
      </c>
    </row>
    <row r="4" spans="1:11" s="7" customFormat="1" ht="107.4" x14ac:dyDescent="1.9">
      <c r="A4" s="78">
        <v>56702</v>
      </c>
      <c r="B4" s="62" t="s">
        <v>6</v>
      </c>
      <c r="C4" s="75">
        <v>45</v>
      </c>
      <c r="D4" s="76">
        <v>9</v>
      </c>
      <c r="E4" s="76">
        <v>30</v>
      </c>
      <c r="F4" s="171"/>
      <c r="G4" s="78">
        <v>56702</v>
      </c>
      <c r="H4" s="62" t="s">
        <v>6</v>
      </c>
      <c r="I4" s="75">
        <v>45</v>
      </c>
      <c r="J4" s="159">
        <v>9</v>
      </c>
      <c r="K4" s="76">
        <v>30</v>
      </c>
    </row>
    <row r="5" spans="1:11" s="7" customFormat="1" ht="107.4" x14ac:dyDescent="1.9">
      <c r="A5" s="78"/>
      <c r="B5" s="62"/>
      <c r="C5" s="75">
        <v>45</v>
      </c>
      <c r="D5" s="76">
        <v>9</v>
      </c>
      <c r="E5" s="76">
        <v>30</v>
      </c>
      <c r="F5" s="171"/>
      <c r="G5" s="17"/>
      <c r="H5" s="11" t="s">
        <v>7</v>
      </c>
      <c r="I5" s="25">
        <v>45</v>
      </c>
      <c r="J5" s="160">
        <v>9</v>
      </c>
      <c r="K5" s="76"/>
    </row>
    <row r="6" spans="1:11" s="7" customFormat="1" ht="108" customHeight="1" x14ac:dyDescent="1.9">
      <c r="A6" s="78">
        <v>160069</v>
      </c>
      <c r="B6" s="62" t="s">
        <v>8</v>
      </c>
      <c r="C6" s="75">
        <v>45</v>
      </c>
      <c r="D6" s="76">
        <v>9</v>
      </c>
      <c r="E6" s="76">
        <v>30</v>
      </c>
      <c r="F6" s="171"/>
      <c r="G6" s="78">
        <v>160069</v>
      </c>
      <c r="H6" s="62" t="s">
        <v>8</v>
      </c>
      <c r="I6" s="75">
        <v>45</v>
      </c>
      <c r="J6" s="159">
        <v>9</v>
      </c>
      <c r="K6" s="76">
        <v>30</v>
      </c>
    </row>
    <row r="7" spans="1:11" s="7" customFormat="1" ht="107.4" x14ac:dyDescent="1.9">
      <c r="A7" s="78"/>
      <c r="B7" s="62"/>
      <c r="C7" s="75">
        <v>45</v>
      </c>
      <c r="D7" s="76">
        <v>9</v>
      </c>
      <c r="E7" s="76">
        <v>30</v>
      </c>
      <c r="F7" s="171"/>
      <c r="G7" s="17">
        <v>160176</v>
      </c>
      <c r="H7" s="11" t="s">
        <v>9</v>
      </c>
      <c r="I7" s="25">
        <v>45</v>
      </c>
      <c r="J7" s="160">
        <v>9</v>
      </c>
      <c r="K7" s="76">
        <v>1</v>
      </c>
    </row>
    <row r="8" spans="1:11" s="7" customFormat="1" ht="107.4" x14ac:dyDescent="1.9">
      <c r="A8" s="78"/>
      <c r="B8" s="62"/>
      <c r="C8" s="75">
        <v>45</v>
      </c>
      <c r="D8" s="76">
        <v>9</v>
      </c>
      <c r="E8" s="76">
        <v>30</v>
      </c>
      <c r="F8" s="171"/>
      <c r="G8" s="17">
        <v>160177</v>
      </c>
      <c r="H8" s="11" t="s">
        <v>10</v>
      </c>
      <c r="I8" s="25">
        <v>45</v>
      </c>
      <c r="J8" s="160">
        <v>9</v>
      </c>
      <c r="K8" s="76">
        <v>1</v>
      </c>
    </row>
    <row r="9" spans="1:11" s="7" customFormat="1" ht="107.4" x14ac:dyDescent="1.9">
      <c r="A9" s="78"/>
      <c r="B9" s="62"/>
      <c r="C9" s="75">
        <v>45</v>
      </c>
      <c r="D9" s="76">
        <v>9</v>
      </c>
      <c r="E9" s="76">
        <v>30</v>
      </c>
      <c r="F9" s="171"/>
      <c r="G9" s="17">
        <v>160361</v>
      </c>
      <c r="H9" s="11" t="s">
        <v>145</v>
      </c>
      <c r="I9" s="25">
        <v>45</v>
      </c>
      <c r="J9" s="160">
        <v>9</v>
      </c>
      <c r="K9" s="76">
        <v>1</v>
      </c>
    </row>
    <row r="10" spans="1:11" s="7" customFormat="1" ht="108" customHeight="1" x14ac:dyDescent="1.9">
      <c r="A10" s="78">
        <v>56623</v>
      </c>
      <c r="B10" s="62" t="s">
        <v>11</v>
      </c>
      <c r="C10" s="75">
        <v>45</v>
      </c>
      <c r="D10" s="76">
        <v>9</v>
      </c>
      <c r="E10" s="76">
        <v>30</v>
      </c>
      <c r="F10" s="171"/>
      <c r="G10" s="78">
        <v>56623</v>
      </c>
      <c r="H10" s="62" t="s">
        <v>11</v>
      </c>
      <c r="I10" s="75">
        <v>45</v>
      </c>
      <c r="J10" s="159">
        <v>9</v>
      </c>
      <c r="K10" s="76">
        <v>30</v>
      </c>
    </row>
    <row r="11" spans="1:11" s="7" customFormat="1" ht="108" customHeight="1" x14ac:dyDescent="1.95">
      <c r="A11" s="47"/>
      <c r="B11" s="12" t="s">
        <v>12</v>
      </c>
      <c r="C11" s="27"/>
      <c r="D11" s="34"/>
      <c r="E11" s="34"/>
      <c r="F11" s="172"/>
      <c r="G11" s="19"/>
      <c r="H11" s="13"/>
      <c r="I11" s="13"/>
      <c r="J11" s="13"/>
      <c r="K11" s="34"/>
    </row>
    <row r="12" spans="1:11" s="7" customFormat="1" ht="108" customHeight="1" x14ac:dyDescent="1.9">
      <c r="A12" s="79">
        <v>160053</v>
      </c>
      <c r="B12" s="62" t="s">
        <v>13</v>
      </c>
      <c r="C12" s="75">
        <v>45</v>
      </c>
      <c r="D12" s="76">
        <v>9</v>
      </c>
      <c r="E12" s="76">
        <v>30</v>
      </c>
      <c r="F12" s="171"/>
      <c r="G12" s="79">
        <v>160053</v>
      </c>
      <c r="H12" s="62" t="s">
        <v>13</v>
      </c>
      <c r="I12" s="75">
        <v>45</v>
      </c>
      <c r="J12" s="159">
        <v>9</v>
      </c>
      <c r="K12" s="76">
        <v>30</v>
      </c>
    </row>
    <row r="13" spans="1:11" s="7" customFormat="1" ht="108" customHeight="1" x14ac:dyDescent="1.9">
      <c r="A13" s="79">
        <v>135763</v>
      </c>
      <c r="B13" s="62" t="s">
        <v>14</v>
      </c>
      <c r="C13" s="75">
        <v>45</v>
      </c>
      <c r="D13" s="76">
        <v>9</v>
      </c>
      <c r="E13" s="76">
        <v>30</v>
      </c>
      <c r="F13" s="171"/>
      <c r="G13" s="79">
        <v>135763</v>
      </c>
      <c r="H13" s="62" t="s">
        <v>14</v>
      </c>
      <c r="I13" s="75">
        <v>45</v>
      </c>
      <c r="J13" s="159">
        <v>9</v>
      </c>
      <c r="K13" s="76">
        <v>30</v>
      </c>
    </row>
    <row r="14" spans="1:11" s="7" customFormat="1" ht="108" customHeight="1" x14ac:dyDescent="1.9">
      <c r="A14" s="79">
        <v>56622</v>
      </c>
      <c r="B14" s="62" t="s">
        <v>86</v>
      </c>
      <c r="C14" s="75">
        <v>45</v>
      </c>
      <c r="D14" s="76">
        <v>9</v>
      </c>
      <c r="E14" s="76">
        <v>30</v>
      </c>
      <c r="F14" s="171"/>
      <c r="G14" s="79">
        <v>56622</v>
      </c>
      <c r="H14" s="62" t="s">
        <v>86</v>
      </c>
      <c r="I14" s="75">
        <v>45</v>
      </c>
      <c r="J14" s="159">
        <v>9</v>
      </c>
      <c r="K14" s="76">
        <v>30</v>
      </c>
    </row>
    <row r="15" spans="1:11" s="7" customFormat="1" ht="108" customHeight="1" x14ac:dyDescent="1.9">
      <c r="A15" s="78">
        <v>56705</v>
      </c>
      <c r="B15" s="62" t="s">
        <v>15</v>
      </c>
      <c r="C15" s="75">
        <v>45</v>
      </c>
      <c r="D15" s="76">
        <v>9</v>
      </c>
      <c r="E15" s="76">
        <v>30</v>
      </c>
      <c r="F15" s="171"/>
      <c r="G15" s="78">
        <v>56705</v>
      </c>
      <c r="H15" s="62" t="s">
        <v>15</v>
      </c>
      <c r="I15" s="75">
        <v>45</v>
      </c>
      <c r="J15" s="159">
        <v>9</v>
      </c>
      <c r="K15" s="76">
        <v>30</v>
      </c>
    </row>
    <row r="16" spans="1:11" s="7" customFormat="1" ht="108" customHeight="1" x14ac:dyDescent="1.9">
      <c r="A16" s="78">
        <v>160070</v>
      </c>
      <c r="B16" s="62" t="s">
        <v>16</v>
      </c>
      <c r="C16" s="75">
        <v>45</v>
      </c>
      <c r="D16" s="76">
        <v>9</v>
      </c>
      <c r="E16" s="76">
        <v>30</v>
      </c>
      <c r="F16" s="171"/>
      <c r="G16" s="78">
        <v>160070</v>
      </c>
      <c r="H16" s="62" t="s">
        <v>16</v>
      </c>
      <c r="I16" s="75">
        <v>45</v>
      </c>
      <c r="J16" s="159">
        <v>9</v>
      </c>
      <c r="K16" s="76">
        <v>30</v>
      </c>
    </row>
    <row r="17" spans="1:12" s="7" customFormat="1" ht="108" customHeight="1" x14ac:dyDescent="1.9">
      <c r="A17" s="78">
        <v>160033</v>
      </c>
      <c r="B17" s="62" t="s">
        <v>17</v>
      </c>
      <c r="C17" s="75">
        <v>45</v>
      </c>
      <c r="D17" s="76">
        <v>9</v>
      </c>
      <c r="E17" s="76">
        <v>30</v>
      </c>
      <c r="F17" s="171"/>
      <c r="G17" s="78">
        <v>160033</v>
      </c>
      <c r="H17" s="62" t="s">
        <v>17</v>
      </c>
      <c r="I17" s="75">
        <v>45</v>
      </c>
      <c r="J17" s="159">
        <v>9</v>
      </c>
      <c r="K17" s="76">
        <v>30</v>
      </c>
    </row>
    <row r="18" spans="1:12" s="7" customFormat="1" ht="107.4" x14ac:dyDescent="1.9">
      <c r="A18" s="78"/>
      <c r="B18" s="62"/>
      <c r="C18" s="75">
        <v>45</v>
      </c>
      <c r="D18" s="76">
        <v>9</v>
      </c>
      <c r="E18" s="76">
        <v>30</v>
      </c>
      <c r="F18" s="171"/>
      <c r="G18" s="17">
        <v>160009</v>
      </c>
      <c r="H18" s="11" t="s">
        <v>183</v>
      </c>
      <c r="I18" s="25">
        <v>45</v>
      </c>
      <c r="J18" s="160">
        <v>9</v>
      </c>
      <c r="K18" s="76">
        <v>1</v>
      </c>
    </row>
    <row r="19" spans="1:12" s="7" customFormat="1" ht="107.4" x14ac:dyDescent="1.9">
      <c r="A19" s="78"/>
      <c r="B19" s="62"/>
      <c r="C19" s="75">
        <v>45</v>
      </c>
      <c r="D19" s="76">
        <v>9</v>
      </c>
      <c r="E19" s="76">
        <v>30</v>
      </c>
      <c r="F19" s="171"/>
      <c r="G19" s="17">
        <v>160010</v>
      </c>
      <c r="H19" s="11" t="s">
        <v>18</v>
      </c>
      <c r="I19" s="25">
        <v>45</v>
      </c>
      <c r="J19" s="160">
        <v>9</v>
      </c>
      <c r="K19" s="76">
        <v>1</v>
      </c>
    </row>
    <row r="20" spans="1:12" s="7" customFormat="1" ht="108" customHeight="1" x14ac:dyDescent="1.9">
      <c r="A20" s="78"/>
      <c r="B20" s="62"/>
      <c r="C20" s="75">
        <v>45</v>
      </c>
      <c r="D20" s="76">
        <v>9</v>
      </c>
      <c r="E20" s="76">
        <v>30</v>
      </c>
      <c r="F20" s="171"/>
      <c r="G20" s="17">
        <v>160624</v>
      </c>
      <c r="H20" s="11" t="s">
        <v>211</v>
      </c>
      <c r="I20" s="25">
        <v>45</v>
      </c>
      <c r="J20" s="160">
        <v>9</v>
      </c>
      <c r="K20" s="76">
        <v>1</v>
      </c>
    </row>
    <row r="21" spans="1:12" s="7" customFormat="1" ht="107.4" x14ac:dyDescent="1.9">
      <c r="A21" s="78"/>
      <c r="B21" s="62"/>
      <c r="C21" s="75">
        <v>45</v>
      </c>
      <c r="D21" s="76">
        <v>9</v>
      </c>
      <c r="E21" s="76">
        <v>30</v>
      </c>
      <c r="F21" s="171"/>
      <c r="G21" s="17">
        <v>160625</v>
      </c>
      <c r="H21" s="11" t="s">
        <v>210</v>
      </c>
      <c r="I21" s="25">
        <v>45</v>
      </c>
      <c r="J21" s="160">
        <v>9</v>
      </c>
      <c r="K21" s="76">
        <v>1</v>
      </c>
    </row>
    <row r="22" spans="1:12" s="7" customFormat="1" ht="107.4" x14ac:dyDescent="1.9">
      <c r="A22" s="78"/>
      <c r="B22" s="62"/>
      <c r="C22" s="75">
        <v>45</v>
      </c>
      <c r="D22" s="76">
        <v>9</v>
      </c>
      <c r="E22" s="76">
        <v>30</v>
      </c>
      <c r="F22" s="171"/>
      <c r="G22" s="17">
        <v>160626</v>
      </c>
      <c r="H22" s="11" t="s">
        <v>249</v>
      </c>
      <c r="I22" s="25">
        <v>45</v>
      </c>
      <c r="J22" s="160">
        <v>9</v>
      </c>
      <c r="K22" s="76">
        <v>1</v>
      </c>
    </row>
    <row r="23" spans="1:12" s="7" customFormat="1" ht="107.4" x14ac:dyDescent="1.9">
      <c r="A23" s="78"/>
      <c r="B23" s="62"/>
      <c r="C23" s="75">
        <v>45</v>
      </c>
      <c r="D23" s="76">
        <v>9</v>
      </c>
      <c r="E23" s="76">
        <v>30</v>
      </c>
      <c r="F23" s="171"/>
      <c r="G23" s="17">
        <v>119945</v>
      </c>
      <c r="H23" s="11" t="s">
        <v>277</v>
      </c>
      <c r="I23" s="25">
        <v>45</v>
      </c>
      <c r="J23" s="160">
        <v>9</v>
      </c>
      <c r="K23" s="76">
        <v>1</v>
      </c>
    </row>
    <row r="24" spans="1:12" s="7" customFormat="1" ht="108" customHeight="1" x14ac:dyDescent="1.9">
      <c r="A24" s="78">
        <v>135666</v>
      </c>
      <c r="B24" s="62" t="s">
        <v>19</v>
      </c>
      <c r="C24" s="63">
        <v>40</v>
      </c>
      <c r="D24" s="64">
        <v>10</v>
      </c>
      <c r="E24" s="64">
        <v>12</v>
      </c>
      <c r="F24" s="173"/>
      <c r="G24" s="78">
        <v>135666</v>
      </c>
      <c r="H24" s="62" t="s">
        <v>19</v>
      </c>
      <c r="I24" s="63">
        <v>40</v>
      </c>
      <c r="J24" s="157">
        <v>10</v>
      </c>
      <c r="K24" s="64">
        <v>12</v>
      </c>
    </row>
    <row r="25" spans="1:12" s="7" customFormat="1" ht="107.4" x14ac:dyDescent="1.9">
      <c r="A25" s="78"/>
      <c r="B25" s="62"/>
      <c r="C25" s="63">
        <v>40</v>
      </c>
      <c r="D25" s="64">
        <v>10</v>
      </c>
      <c r="E25" s="64">
        <v>12</v>
      </c>
      <c r="F25" s="173"/>
      <c r="G25" s="17">
        <v>5666</v>
      </c>
      <c r="H25" s="11" t="s">
        <v>125</v>
      </c>
      <c r="I25" s="26">
        <v>70</v>
      </c>
      <c r="J25" s="161">
        <v>14</v>
      </c>
      <c r="K25" s="64">
        <v>1</v>
      </c>
      <c r="L25" s="107"/>
    </row>
    <row r="26" spans="1:12" s="7" customFormat="1" ht="108" customHeight="1" x14ac:dyDescent="1.95">
      <c r="A26" s="47"/>
      <c r="B26" s="12" t="s">
        <v>12</v>
      </c>
      <c r="C26" s="27"/>
      <c r="D26" s="34"/>
      <c r="E26" s="34"/>
      <c r="F26" s="172"/>
      <c r="G26" s="108"/>
      <c r="H26" s="109"/>
      <c r="I26" s="109"/>
      <c r="J26" s="109"/>
      <c r="K26" s="34"/>
      <c r="L26" s="107"/>
    </row>
    <row r="27" spans="1:12" s="7" customFormat="1" ht="107.4" x14ac:dyDescent="1.9">
      <c r="A27" s="78">
        <v>136159</v>
      </c>
      <c r="B27" s="62" t="s">
        <v>424</v>
      </c>
      <c r="C27" s="63">
        <v>75</v>
      </c>
      <c r="D27" s="64">
        <v>15</v>
      </c>
      <c r="E27" s="64">
        <v>12</v>
      </c>
      <c r="F27" s="173"/>
      <c r="G27" s="78">
        <v>136159</v>
      </c>
      <c r="H27" s="62" t="s">
        <v>424</v>
      </c>
      <c r="I27" s="63">
        <v>75</v>
      </c>
      <c r="J27" s="64">
        <v>15</v>
      </c>
      <c r="K27" s="64">
        <v>12</v>
      </c>
    </row>
    <row r="28" spans="1:12" s="7" customFormat="1" ht="107.4" x14ac:dyDescent="1.9">
      <c r="A28" s="78">
        <v>136113</v>
      </c>
      <c r="B28" s="62" t="s">
        <v>436</v>
      </c>
      <c r="C28" s="63">
        <v>65</v>
      </c>
      <c r="D28" s="64">
        <v>13</v>
      </c>
      <c r="E28" s="64">
        <v>12</v>
      </c>
      <c r="F28" s="173"/>
      <c r="G28" s="78">
        <v>136113</v>
      </c>
      <c r="H28" s="62" t="s">
        <v>436</v>
      </c>
      <c r="I28" s="63">
        <v>65</v>
      </c>
      <c r="J28" s="157">
        <v>13</v>
      </c>
      <c r="K28" s="64">
        <v>12</v>
      </c>
    </row>
    <row r="29" spans="1:12" s="7" customFormat="1" ht="123" customHeight="1" x14ac:dyDescent="1.9">
      <c r="A29" s="78">
        <v>135664</v>
      </c>
      <c r="B29" s="62" t="s">
        <v>262</v>
      </c>
      <c r="C29" s="63">
        <v>65</v>
      </c>
      <c r="D29" s="64">
        <v>13</v>
      </c>
      <c r="E29" s="64">
        <v>12</v>
      </c>
      <c r="F29" s="173"/>
      <c r="G29" s="78">
        <v>135664</v>
      </c>
      <c r="H29" s="62" t="s">
        <v>262</v>
      </c>
      <c r="I29" s="63">
        <v>65</v>
      </c>
      <c r="J29" s="157">
        <v>13</v>
      </c>
      <c r="K29" s="64">
        <v>12</v>
      </c>
    </row>
    <row r="30" spans="1:12" s="7" customFormat="1" ht="123" customHeight="1" x14ac:dyDescent="1.9">
      <c r="A30" s="78">
        <v>135757</v>
      </c>
      <c r="B30" s="62" t="s">
        <v>89</v>
      </c>
      <c r="C30" s="63">
        <v>65</v>
      </c>
      <c r="D30" s="64">
        <v>13</v>
      </c>
      <c r="E30" s="64">
        <v>12</v>
      </c>
      <c r="F30" s="173"/>
      <c r="G30" s="78">
        <v>135757</v>
      </c>
      <c r="H30" s="62" t="s">
        <v>89</v>
      </c>
      <c r="I30" s="63">
        <v>65</v>
      </c>
      <c r="J30" s="157">
        <v>13</v>
      </c>
      <c r="K30" s="64">
        <v>12</v>
      </c>
    </row>
    <row r="31" spans="1:12" s="7" customFormat="1" ht="123" customHeight="1" x14ac:dyDescent="1.9">
      <c r="A31" s="78">
        <v>56651</v>
      </c>
      <c r="B31" s="62" t="s">
        <v>202</v>
      </c>
      <c r="C31" s="63">
        <v>65</v>
      </c>
      <c r="D31" s="64">
        <v>13</v>
      </c>
      <c r="E31" s="64">
        <v>12</v>
      </c>
      <c r="F31" s="173"/>
      <c r="G31" s="78">
        <v>56651</v>
      </c>
      <c r="H31" s="62" t="s">
        <v>202</v>
      </c>
      <c r="I31" s="63">
        <v>65</v>
      </c>
      <c r="J31" s="157">
        <v>13</v>
      </c>
      <c r="K31" s="64">
        <v>12</v>
      </c>
    </row>
    <row r="32" spans="1:12" s="7" customFormat="1" ht="123" customHeight="1" x14ac:dyDescent="1.9">
      <c r="A32" s="78">
        <v>56709</v>
      </c>
      <c r="B32" s="62" t="s">
        <v>118</v>
      </c>
      <c r="C32" s="63">
        <v>65</v>
      </c>
      <c r="D32" s="64">
        <v>13</v>
      </c>
      <c r="E32" s="64">
        <v>12</v>
      </c>
      <c r="F32" s="173"/>
      <c r="G32" s="78">
        <v>56709</v>
      </c>
      <c r="H32" s="62" t="s">
        <v>118</v>
      </c>
      <c r="I32" s="63">
        <v>65</v>
      </c>
      <c r="J32" s="157">
        <v>13</v>
      </c>
      <c r="K32" s="64">
        <v>12</v>
      </c>
    </row>
    <row r="33" spans="1:11" s="7" customFormat="1" ht="123" customHeight="1" x14ac:dyDescent="1.9">
      <c r="A33" s="78">
        <v>160102</v>
      </c>
      <c r="B33" s="62" t="s">
        <v>119</v>
      </c>
      <c r="C33" s="63">
        <v>65</v>
      </c>
      <c r="D33" s="64">
        <v>13</v>
      </c>
      <c r="E33" s="64">
        <v>12</v>
      </c>
      <c r="F33" s="173"/>
      <c r="G33" s="78">
        <v>160102</v>
      </c>
      <c r="H33" s="62" t="s">
        <v>119</v>
      </c>
      <c r="I33" s="63">
        <v>65</v>
      </c>
      <c r="J33" s="157">
        <v>13</v>
      </c>
      <c r="K33" s="64">
        <v>12</v>
      </c>
    </row>
    <row r="34" spans="1:11" s="7" customFormat="1" ht="123" customHeight="1" x14ac:dyDescent="1.9">
      <c r="A34" s="78">
        <v>160100</v>
      </c>
      <c r="B34" s="62" t="s">
        <v>179</v>
      </c>
      <c r="C34" s="63">
        <v>65</v>
      </c>
      <c r="D34" s="64">
        <v>13</v>
      </c>
      <c r="E34" s="64">
        <v>12</v>
      </c>
      <c r="F34" s="173"/>
      <c r="G34" s="78">
        <v>160100</v>
      </c>
      <c r="H34" s="62" t="s">
        <v>179</v>
      </c>
      <c r="I34" s="63">
        <v>65</v>
      </c>
      <c r="J34" s="157">
        <v>13</v>
      </c>
      <c r="K34" s="64">
        <v>12</v>
      </c>
    </row>
    <row r="35" spans="1:11" s="7" customFormat="1" ht="123" customHeight="1" x14ac:dyDescent="1.9">
      <c r="A35" s="78">
        <v>160101</v>
      </c>
      <c r="B35" s="62" t="s">
        <v>326</v>
      </c>
      <c r="C35" s="63">
        <v>65</v>
      </c>
      <c r="D35" s="64">
        <v>13</v>
      </c>
      <c r="E35" s="64">
        <v>12</v>
      </c>
      <c r="F35" s="173"/>
      <c r="G35" s="78">
        <v>160101</v>
      </c>
      <c r="H35" s="62" t="s">
        <v>326</v>
      </c>
      <c r="I35" s="63">
        <v>65</v>
      </c>
      <c r="J35" s="157">
        <v>13</v>
      </c>
      <c r="K35" s="64">
        <v>12</v>
      </c>
    </row>
    <row r="36" spans="1:11" s="7" customFormat="1" ht="123" customHeight="1" x14ac:dyDescent="1.9">
      <c r="A36" s="78">
        <v>160099</v>
      </c>
      <c r="B36" s="62" t="s">
        <v>311</v>
      </c>
      <c r="C36" s="63">
        <v>65</v>
      </c>
      <c r="D36" s="64">
        <v>13</v>
      </c>
      <c r="E36" s="64">
        <v>12</v>
      </c>
      <c r="F36" s="173"/>
      <c r="G36" s="78">
        <v>160099</v>
      </c>
      <c r="H36" s="62" t="s">
        <v>311</v>
      </c>
      <c r="I36" s="63">
        <v>65</v>
      </c>
      <c r="J36" s="157">
        <v>13</v>
      </c>
      <c r="K36" s="64">
        <v>12</v>
      </c>
    </row>
    <row r="37" spans="1:11" s="7" customFormat="1" ht="123" customHeight="1" x14ac:dyDescent="1.95">
      <c r="A37" s="42"/>
      <c r="B37" s="43"/>
      <c r="C37" s="44"/>
      <c r="D37" s="45"/>
      <c r="E37" s="45"/>
      <c r="F37" s="174"/>
      <c r="G37" s="41"/>
      <c r="H37" s="46"/>
      <c r="I37" s="46"/>
      <c r="J37" s="46"/>
      <c r="K37" s="45"/>
    </row>
    <row r="38" spans="1:11" s="7" customFormat="1" ht="123" customHeight="1" x14ac:dyDescent="1.9">
      <c r="A38" s="78"/>
      <c r="B38" s="62"/>
      <c r="C38" s="63"/>
      <c r="D38" s="64"/>
      <c r="E38" s="64">
        <v>1</v>
      </c>
      <c r="F38" s="173"/>
      <c r="G38" s="17">
        <v>160657</v>
      </c>
      <c r="H38" s="11" t="s">
        <v>367</v>
      </c>
      <c r="I38" s="26">
        <v>65</v>
      </c>
      <c r="J38" s="161">
        <v>13</v>
      </c>
      <c r="K38" s="64">
        <v>1</v>
      </c>
    </row>
    <row r="39" spans="1:11" s="7" customFormat="1" ht="123" customHeight="1" x14ac:dyDescent="1.9">
      <c r="A39" s="78">
        <v>136133</v>
      </c>
      <c r="B39" s="62" t="s">
        <v>395</v>
      </c>
      <c r="C39" s="63">
        <v>60</v>
      </c>
      <c r="D39" s="64">
        <v>12</v>
      </c>
      <c r="E39" s="64">
        <v>8</v>
      </c>
      <c r="F39" s="173"/>
      <c r="G39" s="78">
        <v>136133</v>
      </c>
      <c r="H39" s="62" t="s">
        <v>391</v>
      </c>
      <c r="I39" s="63">
        <v>60</v>
      </c>
      <c r="J39" s="157">
        <v>12</v>
      </c>
      <c r="K39" s="64">
        <v>8</v>
      </c>
    </row>
    <row r="40" spans="1:11" s="7" customFormat="1" ht="123" customHeight="1" x14ac:dyDescent="1.9">
      <c r="A40" s="78"/>
      <c r="B40" s="62"/>
      <c r="C40" s="63"/>
      <c r="D40" s="64"/>
      <c r="E40" s="64">
        <v>1</v>
      </c>
      <c r="F40" s="173"/>
      <c r="G40" s="17">
        <v>56572</v>
      </c>
      <c r="H40" s="11" t="s">
        <v>352</v>
      </c>
      <c r="I40" s="26">
        <v>65</v>
      </c>
      <c r="J40" s="161">
        <v>13</v>
      </c>
      <c r="K40" s="64">
        <v>1</v>
      </c>
    </row>
    <row r="41" spans="1:11" s="7" customFormat="1" ht="123" customHeight="1" x14ac:dyDescent="1.9">
      <c r="A41" s="78"/>
      <c r="B41" s="62"/>
      <c r="C41" s="63"/>
      <c r="D41" s="64"/>
      <c r="E41" s="64">
        <v>1</v>
      </c>
      <c r="F41" s="173"/>
      <c r="G41" s="17">
        <v>160130</v>
      </c>
      <c r="H41" s="11" t="s">
        <v>286</v>
      </c>
      <c r="I41" s="26">
        <v>55</v>
      </c>
      <c r="J41" s="161">
        <v>11</v>
      </c>
      <c r="K41" s="64">
        <v>1</v>
      </c>
    </row>
    <row r="42" spans="1:11" s="7" customFormat="1" ht="108" customHeight="1" x14ac:dyDescent="1.9">
      <c r="A42" s="78"/>
      <c r="B42" s="62"/>
      <c r="C42" s="63"/>
      <c r="D42" s="64"/>
      <c r="E42" s="64">
        <v>1</v>
      </c>
      <c r="F42" s="173"/>
      <c r="G42" s="17">
        <v>135756</v>
      </c>
      <c r="H42" s="11" t="s">
        <v>235</v>
      </c>
      <c r="I42" s="26">
        <v>55</v>
      </c>
      <c r="J42" s="161">
        <v>11</v>
      </c>
      <c r="K42" s="64">
        <v>1</v>
      </c>
    </row>
    <row r="43" spans="1:11" s="7" customFormat="1" ht="107.4" x14ac:dyDescent="1.9">
      <c r="A43" s="78"/>
      <c r="B43" s="62"/>
      <c r="C43" s="63"/>
      <c r="D43" s="64"/>
      <c r="E43" s="64">
        <v>1</v>
      </c>
      <c r="F43" s="173"/>
      <c r="G43" s="17">
        <v>135695</v>
      </c>
      <c r="H43" s="11" t="s">
        <v>294</v>
      </c>
      <c r="I43" s="26">
        <v>55</v>
      </c>
      <c r="J43" s="161">
        <v>11</v>
      </c>
      <c r="K43" s="64">
        <v>1</v>
      </c>
    </row>
    <row r="44" spans="1:11" s="7" customFormat="1" ht="107.4" x14ac:dyDescent="1.9">
      <c r="A44" s="78"/>
      <c r="B44" s="62"/>
      <c r="C44" s="63"/>
      <c r="D44" s="64"/>
      <c r="E44" s="64">
        <v>1</v>
      </c>
      <c r="F44" s="173"/>
      <c r="G44" s="17">
        <v>160082</v>
      </c>
      <c r="H44" s="11" t="s">
        <v>212</v>
      </c>
      <c r="I44" s="26">
        <v>55</v>
      </c>
      <c r="J44" s="161">
        <v>11</v>
      </c>
      <c r="K44" s="64">
        <v>1</v>
      </c>
    </row>
    <row r="45" spans="1:11" s="7" customFormat="1" ht="107.4" x14ac:dyDescent="1.9">
      <c r="A45" s="78"/>
      <c r="B45" s="62"/>
      <c r="C45" s="63"/>
      <c r="D45" s="64"/>
      <c r="E45" s="64">
        <v>1</v>
      </c>
      <c r="F45" s="173"/>
      <c r="G45" s="17">
        <v>160075</v>
      </c>
      <c r="H45" s="11" t="s">
        <v>234</v>
      </c>
      <c r="I45" s="26">
        <v>55</v>
      </c>
      <c r="J45" s="161">
        <v>11</v>
      </c>
      <c r="K45" s="64">
        <v>1</v>
      </c>
    </row>
    <row r="46" spans="1:11" s="7" customFormat="1" ht="107.4" x14ac:dyDescent="1.9">
      <c r="A46" s="78"/>
      <c r="B46" s="62"/>
      <c r="C46" s="63"/>
      <c r="D46" s="64"/>
      <c r="E46" s="64">
        <v>1</v>
      </c>
      <c r="F46" s="173"/>
      <c r="G46" s="17">
        <v>56626</v>
      </c>
      <c r="H46" s="11" t="s">
        <v>250</v>
      </c>
      <c r="I46" s="26">
        <v>55</v>
      </c>
      <c r="J46" s="161">
        <v>11</v>
      </c>
      <c r="K46" s="64">
        <v>1</v>
      </c>
    </row>
    <row r="47" spans="1:11" s="7" customFormat="1" ht="107.4" x14ac:dyDescent="1.9">
      <c r="A47" s="78"/>
      <c r="B47" s="62"/>
      <c r="C47" s="63"/>
      <c r="D47" s="64"/>
      <c r="E47" s="64">
        <v>1</v>
      </c>
      <c r="F47" s="173"/>
      <c r="G47" s="17">
        <v>160153</v>
      </c>
      <c r="H47" s="11" t="s">
        <v>251</v>
      </c>
      <c r="I47" s="26">
        <v>55</v>
      </c>
      <c r="J47" s="161">
        <v>11</v>
      </c>
      <c r="K47" s="64">
        <v>1</v>
      </c>
    </row>
    <row r="48" spans="1:11" s="7" customFormat="1" ht="107.4" x14ac:dyDescent="1.9">
      <c r="A48" s="78"/>
      <c r="B48" s="62"/>
      <c r="C48" s="63"/>
      <c r="D48" s="64"/>
      <c r="E48" s="64">
        <v>1</v>
      </c>
      <c r="F48" s="173"/>
      <c r="G48" s="17">
        <v>160154</v>
      </c>
      <c r="H48" s="11" t="s">
        <v>252</v>
      </c>
      <c r="I48" s="26">
        <v>55</v>
      </c>
      <c r="J48" s="161">
        <v>11</v>
      </c>
      <c r="K48" s="64">
        <v>1</v>
      </c>
    </row>
    <row r="49" spans="1:11" s="7" customFormat="1" ht="107.4" x14ac:dyDescent="1.9">
      <c r="A49" s="78"/>
      <c r="B49" s="62"/>
      <c r="C49" s="63"/>
      <c r="D49" s="64"/>
      <c r="E49" s="64">
        <v>1</v>
      </c>
      <c r="F49" s="173"/>
      <c r="G49" s="17">
        <v>160155</v>
      </c>
      <c r="H49" s="11" t="s">
        <v>253</v>
      </c>
      <c r="I49" s="26">
        <v>55</v>
      </c>
      <c r="J49" s="161">
        <v>11</v>
      </c>
      <c r="K49" s="64">
        <v>1</v>
      </c>
    </row>
    <row r="50" spans="1:11" s="7" customFormat="1" ht="107.4" x14ac:dyDescent="1.9">
      <c r="A50" s="78"/>
      <c r="B50" s="62"/>
      <c r="C50" s="63"/>
      <c r="D50" s="64"/>
      <c r="E50" s="64">
        <v>1</v>
      </c>
      <c r="F50" s="173"/>
      <c r="G50" s="17">
        <v>56431</v>
      </c>
      <c r="H50" s="11" t="s">
        <v>246</v>
      </c>
      <c r="I50" s="26">
        <v>55</v>
      </c>
      <c r="J50" s="161">
        <v>11</v>
      </c>
      <c r="K50" s="64">
        <v>1</v>
      </c>
    </row>
    <row r="51" spans="1:11" s="7" customFormat="1" ht="107.4" x14ac:dyDescent="1.9">
      <c r="A51" s="78"/>
      <c r="B51" s="62"/>
      <c r="C51" s="63"/>
      <c r="D51" s="64"/>
      <c r="E51" s="64">
        <v>1</v>
      </c>
      <c r="F51" s="173"/>
      <c r="G51" s="17">
        <v>56432</v>
      </c>
      <c r="H51" s="11" t="s">
        <v>247</v>
      </c>
      <c r="I51" s="26">
        <v>55</v>
      </c>
      <c r="J51" s="161">
        <v>11</v>
      </c>
      <c r="K51" s="64">
        <v>1</v>
      </c>
    </row>
    <row r="52" spans="1:11" s="7" customFormat="1" ht="106.8" x14ac:dyDescent="1.7">
      <c r="A52" s="70" t="s">
        <v>12</v>
      </c>
      <c r="B52" s="69"/>
      <c r="C52" s="69"/>
      <c r="D52" s="69"/>
      <c r="E52" s="69"/>
      <c r="F52" s="175"/>
      <c r="G52" s="69"/>
      <c r="H52" s="69"/>
      <c r="I52" s="69"/>
      <c r="J52" s="69"/>
      <c r="K52" s="69"/>
    </row>
    <row r="53" spans="1:11" s="7" customFormat="1" ht="107.4" x14ac:dyDescent="1.9">
      <c r="A53" s="78"/>
      <c r="B53" s="62"/>
      <c r="C53" s="63"/>
      <c r="D53" s="64"/>
      <c r="E53" s="64">
        <v>1</v>
      </c>
      <c r="F53" s="173"/>
      <c r="G53" s="17">
        <v>50066</v>
      </c>
      <c r="H53" s="11" t="s">
        <v>20</v>
      </c>
      <c r="I53" s="26">
        <v>55</v>
      </c>
      <c r="J53" s="161">
        <v>11</v>
      </c>
      <c r="K53" s="64">
        <v>1</v>
      </c>
    </row>
    <row r="54" spans="1:11" s="7" customFormat="1" ht="107.4" x14ac:dyDescent="1.9">
      <c r="A54" s="78"/>
      <c r="B54" s="62"/>
      <c r="C54" s="63"/>
      <c r="D54" s="64"/>
      <c r="E54" s="64">
        <v>1</v>
      </c>
      <c r="F54" s="173"/>
      <c r="G54" s="17">
        <v>50067</v>
      </c>
      <c r="H54" s="11" t="s">
        <v>98</v>
      </c>
      <c r="I54" s="26">
        <v>55</v>
      </c>
      <c r="J54" s="161">
        <v>11</v>
      </c>
      <c r="K54" s="64">
        <v>1</v>
      </c>
    </row>
    <row r="55" spans="1:11" s="7" customFormat="1" ht="107.4" x14ac:dyDescent="1.9">
      <c r="A55" s="78"/>
      <c r="B55" s="62"/>
      <c r="C55" s="63"/>
      <c r="D55" s="64"/>
      <c r="E55" s="64">
        <v>1</v>
      </c>
      <c r="F55" s="173"/>
      <c r="G55" s="17">
        <v>50068</v>
      </c>
      <c r="H55" s="11" t="s">
        <v>76</v>
      </c>
      <c r="I55" s="26">
        <v>55</v>
      </c>
      <c r="J55" s="161">
        <v>11</v>
      </c>
      <c r="K55" s="64">
        <v>1</v>
      </c>
    </row>
    <row r="56" spans="1:11" s="7" customFormat="1" ht="106.8" x14ac:dyDescent="1.7">
      <c r="A56" s="69"/>
      <c r="B56" s="69"/>
      <c r="C56" s="69"/>
      <c r="D56" s="69"/>
      <c r="E56" s="69"/>
      <c r="F56" s="175"/>
      <c r="G56" s="69" t="s">
        <v>12</v>
      </c>
      <c r="H56" s="69"/>
      <c r="I56" s="69"/>
      <c r="J56" s="69"/>
      <c r="K56" s="69"/>
    </row>
    <row r="57" spans="1:11" s="7" customFormat="1" ht="107.4" x14ac:dyDescent="1.7">
      <c r="A57" s="80"/>
      <c r="B57" s="62"/>
      <c r="C57" s="63"/>
      <c r="D57" s="64"/>
      <c r="E57" s="64">
        <v>1</v>
      </c>
      <c r="F57" s="173"/>
      <c r="G57" s="104">
        <v>376</v>
      </c>
      <c r="H57" s="11" t="s">
        <v>117</v>
      </c>
      <c r="I57" s="26">
        <v>75</v>
      </c>
      <c r="J57" s="161">
        <v>15</v>
      </c>
      <c r="K57" s="64">
        <v>1</v>
      </c>
    </row>
    <row r="58" spans="1:11" s="7" customFormat="1" ht="107.4" x14ac:dyDescent="1.9">
      <c r="A58" s="81"/>
      <c r="B58" s="62"/>
      <c r="C58" s="63"/>
      <c r="D58" s="64"/>
      <c r="E58" s="64">
        <v>1</v>
      </c>
      <c r="F58" s="173"/>
      <c r="G58" s="105">
        <v>4645</v>
      </c>
      <c r="H58" s="11" t="s">
        <v>21</v>
      </c>
      <c r="I58" s="26">
        <v>75</v>
      </c>
      <c r="J58" s="161">
        <v>15</v>
      </c>
      <c r="K58" s="64">
        <v>1</v>
      </c>
    </row>
    <row r="59" spans="1:11" s="7" customFormat="1" ht="107.4" x14ac:dyDescent="1.9">
      <c r="A59" s="81"/>
      <c r="B59" s="62"/>
      <c r="C59" s="63"/>
      <c r="D59" s="64"/>
      <c r="E59" s="64">
        <v>1</v>
      </c>
      <c r="F59" s="173"/>
      <c r="G59" s="105">
        <v>4647</v>
      </c>
      <c r="H59" s="11" t="s">
        <v>55</v>
      </c>
      <c r="I59" s="26">
        <v>75</v>
      </c>
      <c r="J59" s="161">
        <v>15</v>
      </c>
      <c r="K59" s="64">
        <v>1</v>
      </c>
    </row>
    <row r="60" spans="1:11" s="7" customFormat="1" ht="107.4" x14ac:dyDescent="1.9">
      <c r="A60" s="81"/>
      <c r="B60" s="62"/>
      <c r="C60" s="63"/>
      <c r="D60" s="64"/>
      <c r="E60" s="64">
        <v>1</v>
      </c>
      <c r="F60" s="173"/>
      <c r="G60" s="105">
        <v>50129</v>
      </c>
      <c r="H60" s="11" t="s">
        <v>3</v>
      </c>
      <c r="I60" s="26">
        <v>75</v>
      </c>
      <c r="J60" s="161">
        <v>15</v>
      </c>
      <c r="K60" s="64">
        <v>1</v>
      </c>
    </row>
    <row r="61" spans="1:11" s="7" customFormat="1" ht="108" customHeight="1" x14ac:dyDescent="1.7">
      <c r="A61" s="55" t="s">
        <v>0</v>
      </c>
      <c r="B61" s="55" t="s">
        <v>1</v>
      </c>
      <c r="C61" s="56" t="s">
        <v>114</v>
      </c>
      <c r="D61" s="57" t="s">
        <v>115</v>
      </c>
      <c r="E61" s="57"/>
      <c r="F61" s="170"/>
      <c r="G61" s="55" t="s">
        <v>0</v>
      </c>
      <c r="H61" s="55" t="s">
        <v>1</v>
      </c>
      <c r="I61" s="56" t="s">
        <v>114</v>
      </c>
      <c r="J61" s="158" t="s">
        <v>115</v>
      </c>
      <c r="K61" s="57"/>
    </row>
    <row r="62" spans="1:11" s="7" customFormat="1" ht="107.4" x14ac:dyDescent="1.7">
      <c r="A62" s="82"/>
      <c r="B62" s="62"/>
      <c r="C62" s="63"/>
      <c r="D62" s="64"/>
      <c r="E62" s="64">
        <v>1</v>
      </c>
      <c r="F62" s="173"/>
      <c r="G62" s="16">
        <v>160087</v>
      </c>
      <c r="H62" s="11" t="s">
        <v>22</v>
      </c>
      <c r="I62" s="26">
        <v>60</v>
      </c>
      <c r="J62" s="161">
        <v>15</v>
      </c>
      <c r="K62" s="64">
        <v>1</v>
      </c>
    </row>
    <row r="63" spans="1:11" s="7" customFormat="1" ht="108" customHeight="1" x14ac:dyDescent="1.7">
      <c r="A63" s="82">
        <v>135662</v>
      </c>
      <c r="B63" s="62" t="s">
        <v>263</v>
      </c>
      <c r="C63" s="63">
        <v>60</v>
      </c>
      <c r="D63" s="64">
        <v>15</v>
      </c>
      <c r="E63" s="64">
        <v>6</v>
      </c>
      <c r="F63" s="173"/>
      <c r="G63" s="82">
        <v>135662</v>
      </c>
      <c r="H63" s="62" t="s">
        <v>263</v>
      </c>
      <c r="I63" s="63">
        <v>60</v>
      </c>
      <c r="J63" s="157">
        <v>15</v>
      </c>
      <c r="K63" s="64">
        <v>6</v>
      </c>
    </row>
    <row r="64" spans="1:11" s="7" customFormat="1" ht="108" customHeight="1" x14ac:dyDescent="1.7">
      <c r="A64" s="82">
        <v>160124</v>
      </c>
      <c r="B64" s="62" t="s">
        <v>23</v>
      </c>
      <c r="C64" s="63">
        <v>60</v>
      </c>
      <c r="D64" s="64">
        <v>15</v>
      </c>
      <c r="E64" s="64">
        <v>6</v>
      </c>
      <c r="F64" s="173"/>
      <c r="G64" s="82">
        <v>160124</v>
      </c>
      <c r="H64" s="62" t="s">
        <v>23</v>
      </c>
      <c r="I64" s="63">
        <v>60</v>
      </c>
      <c r="J64" s="157">
        <v>15</v>
      </c>
      <c r="K64" s="64">
        <v>6</v>
      </c>
    </row>
    <row r="65" spans="1:11" s="7" customFormat="1" ht="108" customHeight="1" x14ac:dyDescent="1.7">
      <c r="A65" s="82">
        <v>56711</v>
      </c>
      <c r="B65" s="62" t="s">
        <v>24</v>
      </c>
      <c r="C65" s="63">
        <v>60</v>
      </c>
      <c r="D65" s="64">
        <v>15</v>
      </c>
      <c r="E65" s="64">
        <v>6</v>
      </c>
      <c r="F65" s="173"/>
      <c r="G65" s="82">
        <v>56711</v>
      </c>
      <c r="H65" s="62" t="s">
        <v>24</v>
      </c>
      <c r="I65" s="63">
        <v>60</v>
      </c>
      <c r="J65" s="157">
        <v>15</v>
      </c>
      <c r="K65" s="64">
        <v>6</v>
      </c>
    </row>
    <row r="66" spans="1:11" s="7" customFormat="1" ht="108" customHeight="1" x14ac:dyDescent="1.7">
      <c r="A66" s="82">
        <v>56625</v>
      </c>
      <c r="B66" s="62" t="s">
        <v>25</v>
      </c>
      <c r="C66" s="63">
        <v>60</v>
      </c>
      <c r="D66" s="64">
        <v>15</v>
      </c>
      <c r="E66" s="64">
        <v>6</v>
      </c>
      <c r="F66" s="173"/>
      <c r="G66" s="82">
        <v>56625</v>
      </c>
      <c r="H66" s="62" t="s">
        <v>25</v>
      </c>
      <c r="I66" s="63">
        <v>60</v>
      </c>
      <c r="J66" s="157">
        <v>15</v>
      </c>
      <c r="K66" s="64">
        <v>6</v>
      </c>
    </row>
    <row r="67" spans="1:11" s="7" customFormat="1" ht="108" customHeight="1" x14ac:dyDescent="1.9">
      <c r="A67" s="47"/>
      <c r="B67" s="12"/>
      <c r="C67" s="27"/>
      <c r="D67" s="34"/>
      <c r="E67" s="34"/>
      <c r="F67" s="172"/>
      <c r="G67" s="60"/>
      <c r="H67" s="12" t="s">
        <v>12</v>
      </c>
      <c r="I67" s="27"/>
      <c r="J67" s="103"/>
      <c r="K67" s="34"/>
    </row>
    <row r="68" spans="1:11" s="7" customFormat="1" ht="107.4" x14ac:dyDescent="1.9">
      <c r="A68" s="78"/>
      <c r="B68" s="62"/>
      <c r="C68" s="63"/>
      <c r="D68" s="64"/>
      <c r="E68" s="64">
        <v>1</v>
      </c>
      <c r="F68" s="173"/>
      <c r="G68" s="17">
        <v>160004</v>
      </c>
      <c r="H68" s="11" t="s">
        <v>26</v>
      </c>
      <c r="I68" s="26">
        <v>60</v>
      </c>
      <c r="J68" s="161">
        <v>12</v>
      </c>
      <c r="K68" s="64">
        <v>1</v>
      </c>
    </row>
    <row r="69" spans="1:11" s="7" customFormat="1" ht="108" customHeight="1" x14ac:dyDescent="1.9">
      <c r="A69" s="78">
        <v>135663</v>
      </c>
      <c r="B69" s="62" t="s">
        <v>264</v>
      </c>
      <c r="C69" s="63">
        <v>60</v>
      </c>
      <c r="D69" s="64">
        <v>12</v>
      </c>
      <c r="E69" s="64">
        <v>8</v>
      </c>
      <c r="F69" s="173"/>
      <c r="G69" s="78">
        <v>135663</v>
      </c>
      <c r="H69" s="62" t="s">
        <v>264</v>
      </c>
      <c r="I69" s="63">
        <v>60</v>
      </c>
      <c r="J69" s="157">
        <v>12</v>
      </c>
      <c r="K69" s="64">
        <v>8</v>
      </c>
    </row>
    <row r="70" spans="1:11" s="7" customFormat="1" ht="107.4" x14ac:dyDescent="1.9">
      <c r="A70" s="78">
        <v>135755</v>
      </c>
      <c r="B70" s="62" t="s">
        <v>75</v>
      </c>
      <c r="C70" s="63">
        <v>60</v>
      </c>
      <c r="D70" s="64">
        <v>12</v>
      </c>
      <c r="E70" s="64">
        <v>8</v>
      </c>
      <c r="F70" s="173"/>
      <c r="G70" s="78">
        <v>135755</v>
      </c>
      <c r="H70" s="62" t="s">
        <v>75</v>
      </c>
      <c r="I70" s="63">
        <v>60</v>
      </c>
      <c r="J70" s="157">
        <v>12</v>
      </c>
      <c r="K70" s="64">
        <v>8</v>
      </c>
    </row>
    <row r="71" spans="1:11" s="7" customFormat="1" ht="107.4" x14ac:dyDescent="1.9">
      <c r="A71" s="78">
        <v>56820</v>
      </c>
      <c r="B71" s="62" t="s">
        <v>437</v>
      </c>
      <c r="C71" s="63">
        <v>60</v>
      </c>
      <c r="D71" s="64">
        <v>12</v>
      </c>
      <c r="E71" s="64">
        <v>8</v>
      </c>
      <c r="F71" s="173"/>
      <c r="G71" s="17">
        <v>56820</v>
      </c>
      <c r="H71" s="11" t="s">
        <v>437</v>
      </c>
      <c r="I71" s="26">
        <v>60</v>
      </c>
      <c r="J71" s="161">
        <v>12</v>
      </c>
      <c r="K71" s="64">
        <v>8</v>
      </c>
    </row>
    <row r="72" spans="1:11" s="7" customFormat="1" ht="107.4" x14ac:dyDescent="1.9">
      <c r="A72" s="78"/>
      <c r="B72" s="62"/>
      <c r="C72" s="63"/>
      <c r="D72" s="64"/>
      <c r="E72" s="64">
        <v>1</v>
      </c>
      <c r="F72" s="173"/>
      <c r="G72" s="17">
        <v>160025</v>
      </c>
      <c r="H72" s="11" t="s">
        <v>74</v>
      </c>
      <c r="I72" s="26">
        <v>60</v>
      </c>
      <c r="J72" s="161">
        <v>12</v>
      </c>
      <c r="K72" s="64">
        <v>1</v>
      </c>
    </row>
    <row r="73" spans="1:11" s="7" customFormat="1" ht="107.4" x14ac:dyDescent="1.9">
      <c r="A73" s="83"/>
      <c r="B73" s="68"/>
      <c r="C73" s="65"/>
      <c r="D73" s="84"/>
      <c r="E73" s="84">
        <v>1</v>
      </c>
      <c r="F73" s="176"/>
      <c r="G73" s="110">
        <v>160026</v>
      </c>
      <c r="H73" s="15" t="s">
        <v>77</v>
      </c>
      <c r="I73" s="29">
        <v>60</v>
      </c>
      <c r="J73" s="162">
        <v>12</v>
      </c>
      <c r="K73" s="84">
        <v>1</v>
      </c>
    </row>
    <row r="74" spans="1:11" s="7" customFormat="1" ht="108" customHeight="1" x14ac:dyDescent="1.9">
      <c r="A74" s="49"/>
      <c r="B74" s="50"/>
      <c r="C74" s="69"/>
      <c r="D74" s="51"/>
      <c r="E74" s="51"/>
      <c r="F74" s="177"/>
      <c r="G74" s="111"/>
      <c r="H74" s="50"/>
      <c r="I74" s="69"/>
      <c r="J74" s="112"/>
      <c r="K74" s="51"/>
    </row>
    <row r="75" spans="1:11" s="7" customFormat="1" ht="108" customHeight="1" x14ac:dyDescent="1.9">
      <c r="A75" s="86">
        <v>160040</v>
      </c>
      <c r="B75" s="87" t="s">
        <v>27</v>
      </c>
      <c r="C75" s="88">
        <v>119</v>
      </c>
      <c r="D75" s="89">
        <v>17</v>
      </c>
      <c r="E75" s="89">
        <v>15</v>
      </c>
      <c r="F75" s="178"/>
      <c r="G75" s="86">
        <v>160040</v>
      </c>
      <c r="H75" s="87" t="s">
        <v>27</v>
      </c>
      <c r="I75" s="88">
        <v>119</v>
      </c>
      <c r="J75" s="163">
        <v>17</v>
      </c>
      <c r="K75" s="89">
        <v>15</v>
      </c>
    </row>
    <row r="76" spans="1:11" s="7" customFormat="1" ht="107.4" x14ac:dyDescent="1.9">
      <c r="A76" s="78">
        <v>135759</v>
      </c>
      <c r="B76" s="62" t="s">
        <v>126</v>
      </c>
      <c r="C76" s="63">
        <v>119</v>
      </c>
      <c r="D76" s="64">
        <v>17</v>
      </c>
      <c r="E76" s="64">
        <v>15</v>
      </c>
      <c r="F76" s="173"/>
      <c r="G76" s="78">
        <v>135759</v>
      </c>
      <c r="H76" s="62" t="s">
        <v>126</v>
      </c>
      <c r="I76" s="63">
        <v>119</v>
      </c>
      <c r="J76" s="157">
        <v>17</v>
      </c>
      <c r="K76" s="64">
        <v>15</v>
      </c>
    </row>
    <row r="77" spans="1:11" s="7" customFormat="1" ht="107.4" x14ac:dyDescent="1.9">
      <c r="A77" s="78"/>
      <c r="B77" s="87"/>
      <c r="C77" s="63"/>
      <c r="D77" s="64"/>
      <c r="E77" s="64">
        <v>1</v>
      </c>
      <c r="F77" s="173"/>
      <c r="G77" s="78">
        <v>136415</v>
      </c>
      <c r="H77" s="87" t="s">
        <v>438</v>
      </c>
      <c r="I77" s="63">
        <v>154</v>
      </c>
      <c r="J77" s="157">
        <v>22</v>
      </c>
      <c r="K77" s="64">
        <v>12</v>
      </c>
    </row>
    <row r="78" spans="1:11" s="7" customFormat="1" ht="107.4" x14ac:dyDescent="1.9">
      <c r="A78" s="78"/>
      <c r="B78" s="87"/>
      <c r="C78" s="63"/>
      <c r="D78" s="64"/>
      <c r="E78" s="64">
        <v>1</v>
      </c>
      <c r="F78" s="173"/>
      <c r="G78" s="17">
        <v>136416</v>
      </c>
      <c r="H78" s="14" t="s">
        <v>439</v>
      </c>
      <c r="I78" s="26">
        <v>154</v>
      </c>
      <c r="J78" s="161">
        <v>22</v>
      </c>
      <c r="K78" s="64">
        <v>12</v>
      </c>
    </row>
    <row r="79" spans="1:11" s="7" customFormat="1" ht="108" customHeight="1" x14ac:dyDescent="1.9">
      <c r="A79" s="49"/>
      <c r="B79" s="50"/>
      <c r="C79" s="69"/>
      <c r="D79" s="51"/>
      <c r="E79" s="51"/>
      <c r="F79" s="177"/>
      <c r="G79" s="111"/>
      <c r="H79" s="50"/>
      <c r="I79" s="69"/>
      <c r="J79" s="112"/>
      <c r="K79" s="51"/>
    </row>
    <row r="80" spans="1:11" s="7" customFormat="1" ht="108" customHeight="1" x14ac:dyDescent="1.9">
      <c r="A80" s="78">
        <v>135760</v>
      </c>
      <c r="B80" s="87" t="s">
        <v>278</v>
      </c>
      <c r="C80" s="63">
        <v>240</v>
      </c>
      <c r="D80" s="64">
        <v>30</v>
      </c>
      <c r="E80" s="64">
        <v>12</v>
      </c>
      <c r="F80" s="173"/>
      <c r="G80" s="78">
        <v>135760</v>
      </c>
      <c r="H80" s="87" t="s">
        <v>278</v>
      </c>
      <c r="I80" s="63">
        <v>224</v>
      </c>
      <c r="J80" s="157">
        <v>28</v>
      </c>
      <c r="K80" s="64">
        <v>12</v>
      </c>
    </row>
    <row r="81" spans="1:11" s="7" customFormat="1" ht="108" customHeight="1" x14ac:dyDescent="1.9">
      <c r="A81" s="78">
        <v>160318</v>
      </c>
      <c r="B81" s="62" t="s">
        <v>120</v>
      </c>
      <c r="C81" s="63">
        <v>240</v>
      </c>
      <c r="D81" s="64">
        <v>30</v>
      </c>
      <c r="E81" s="64">
        <v>12</v>
      </c>
      <c r="F81" s="173"/>
      <c r="G81" s="78">
        <v>160318</v>
      </c>
      <c r="H81" s="62" t="s">
        <v>120</v>
      </c>
      <c r="I81" s="63">
        <v>224</v>
      </c>
      <c r="J81" s="157">
        <v>28</v>
      </c>
      <c r="K81" s="64">
        <v>12</v>
      </c>
    </row>
    <row r="82" spans="1:11" s="7" customFormat="1" ht="108" customHeight="1" x14ac:dyDescent="1.9">
      <c r="A82" s="47"/>
      <c r="B82" s="12"/>
      <c r="C82" s="63">
        <v>240</v>
      </c>
      <c r="D82" s="64">
        <v>30</v>
      </c>
      <c r="E82" s="34"/>
      <c r="F82" s="172"/>
      <c r="G82" s="60"/>
      <c r="H82" s="12" t="s">
        <v>12</v>
      </c>
      <c r="I82" s="27"/>
      <c r="J82" s="103"/>
      <c r="K82" s="34"/>
    </row>
    <row r="83" spans="1:11" s="7" customFormat="1" ht="108" customHeight="1" x14ac:dyDescent="1.9">
      <c r="A83" s="78">
        <v>56452</v>
      </c>
      <c r="B83" s="62" t="s">
        <v>292</v>
      </c>
      <c r="C83" s="63">
        <v>240</v>
      </c>
      <c r="D83" s="64">
        <v>30</v>
      </c>
      <c r="E83" s="64">
        <v>12</v>
      </c>
      <c r="F83" s="173"/>
      <c r="G83" s="78">
        <v>56452</v>
      </c>
      <c r="H83" s="62" t="s">
        <v>292</v>
      </c>
      <c r="I83" s="63">
        <v>224</v>
      </c>
      <c r="J83" s="157">
        <v>28</v>
      </c>
      <c r="K83" s="64">
        <v>12</v>
      </c>
    </row>
    <row r="84" spans="1:11" s="7" customFormat="1" ht="108" customHeight="1" x14ac:dyDescent="1.9">
      <c r="A84" s="90">
        <v>56453</v>
      </c>
      <c r="B84" s="66" t="s">
        <v>293</v>
      </c>
      <c r="C84" s="63">
        <v>240</v>
      </c>
      <c r="D84" s="64">
        <v>30</v>
      </c>
      <c r="E84" s="64">
        <v>12</v>
      </c>
      <c r="F84" s="173"/>
      <c r="G84" s="90">
        <v>56453</v>
      </c>
      <c r="H84" s="66" t="s">
        <v>293</v>
      </c>
      <c r="I84" s="63">
        <v>224</v>
      </c>
      <c r="J84" s="157">
        <v>28</v>
      </c>
      <c r="K84" s="64">
        <v>12</v>
      </c>
    </row>
    <row r="85" spans="1:11" s="7" customFormat="1" ht="108" customHeight="1" x14ac:dyDescent="1.9">
      <c r="A85" s="90">
        <v>160479</v>
      </c>
      <c r="B85" s="62" t="s">
        <v>279</v>
      </c>
      <c r="C85" s="63">
        <v>240</v>
      </c>
      <c r="D85" s="64">
        <v>30</v>
      </c>
      <c r="E85" s="64">
        <v>12</v>
      </c>
      <c r="F85" s="173"/>
      <c r="G85" s="90">
        <v>160479</v>
      </c>
      <c r="H85" s="62" t="s">
        <v>279</v>
      </c>
      <c r="I85" s="63">
        <v>224</v>
      </c>
      <c r="J85" s="157">
        <v>28</v>
      </c>
      <c r="K85" s="64">
        <v>12</v>
      </c>
    </row>
    <row r="86" spans="1:11" s="7" customFormat="1" ht="107.4" x14ac:dyDescent="1.9">
      <c r="A86" s="21"/>
      <c r="B86" s="11"/>
      <c r="C86" s="63">
        <v>240</v>
      </c>
      <c r="D86" s="64">
        <v>30</v>
      </c>
      <c r="E86" s="35"/>
      <c r="F86" s="173"/>
      <c r="G86" s="21">
        <v>160645</v>
      </c>
      <c r="H86" s="11" t="s">
        <v>123</v>
      </c>
      <c r="I86" s="26">
        <v>154</v>
      </c>
      <c r="J86" s="161">
        <v>22</v>
      </c>
      <c r="K86" s="35"/>
    </row>
    <row r="87" spans="1:11" s="7" customFormat="1" ht="108" customHeight="1" x14ac:dyDescent="1.9">
      <c r="A87" s="78">
        <v>56627</v>
      </c>
      <c r="B87" s="62" t="s">
        <v>161</v>
      </c>
      <c r="C87" s="63">
        <v>240</v>
      </c>
      <c r="D87" s="64">
        <v>30</v>
      </c>
      <c r="E87" s="64">
        <v>12</v>
      </c>
      <c r="F87" s="173"/>
      <c r="G87" s="78">
        <v>56627</v>
      </c>
      <c r="H87" s="62" t="s">
        <v>161</v>
      </c>
      <c r="I87" s="63">
        <v>224</v>
      </c>
      <c r="J87" s="157">
        <v>28</v>
      </c>
      <c r="K87" s="64">
        <v>12</v>
      </c>
    </row>
    <row r="88" spans="1:11" s="7" customFormat="1" ht="108" customHeight="1" x14ac:dyDescent="1.9">
      <c r="A88" s="78">
        <v>160297</v>
      </c>
      <c r="B88" s="62" t="s">
        <v>165</v>
      </c>
      <c r="C88" s="63">
        <v>240</v>
      </c>
      <c r="D88" s="64">
        <v>30</v>
      </c>
      <c r="E88" s="64">
        <v>12</v>
      </c>
      <c r="F88" s="173"/>
      <c r="G88" s="78">
        <v>160297</v>
      </c>
      <c r="H88" s="62" t="s">
        <v>165</v>
      </c>
      <c r="I88" s="63">
        <v>224</v>
      </c>
      <c r="J88" s="157">
        <v>28</v>
      </c>
      <c r="K88" s="64">
        <v>12</v>
      </c>
    </row>
    <row r="89" spans="1:11" s="7" customFormat="1" ht="107.4" x14ac:dyDescent="1.9">
      <c r="A89" s="10"/>
      <c r="B89" s="11"/>
      <c r="C89" s="63">
        <v>240</v>
      </c>
      <c r="D89" s="64">
        <v>30</v>
      </c>
      <c r="E89" s="35"/>
      <c r="F89" s="173"/>
      <c r="G89" s="17">
        <v>56446</v>
      </c>
      <c r="H89" s="11" t="s">
        <v>257</v>
      </c>
      <c r="I89" s="26">
        <v>224</v>
      </c>
      <c r="J89" s="161">
        <v>28</v>
      </c>
      <c r="K89" s="35"/>
    </row>
    <row r="90" spans="1:11" s="7" customFormat="1" ht="107.4" x14ac:dyDescent="1.9">
      <c r="A90" s="78">
        <v>56706</v>
      </c>
      <c r="B90" s="62" t="s">
        <v>164</v>
      </c>
      <c r="C90" s="63">
        <v>240</v>
      </c>
      <c r="D90" s="64">
        <v>30</v>
      </c>
      <c r="E90" s="64">
        <v>12</v>
      </c>
      <c r="F90" s="173"/>
      <c r="G90" s="78">
        <v>56706</v>
      </c>
      <c r="H90" s="62" t="s">
        <v>164</v>
      </c>
      <c r="I90" s="63">
        <v>224</v>
      </c>
      <c r="J90" s="157">
        <v>28</v>
      </c>
      <c r="K90" s="64">
        <v>12</v>
      </c>
    </row>
    <row r="91" spans="1:11" s="7" customFormat="1" ht="107.4" x14ac:dyDescent="1.9">
      <c r="A91" s="78"/>
      <c r="B91" s="62"/>
      <c r="C91" s="63"/>
      <c r="D91" s="64"/>
      <c r="E91" s="64">
        <v>1</v>
      </c>
      <c r="F91" s="173"/>
      <c r="G91" s="17">
        <v>56440</v>
      </c>
      <c r="H91" s="11" t="s">
        <v>256</v>
      </c>
      <c r="I91" s="26">
        <v>224</v>
      </c>
      <c r="J91" s="161">
        <v>28</v>
      </c>
      <c r="K91" s="64">
        <v>1</v>
      </c>
    </row>
    <row r="92" spans="1:11" s="7" customFormat="1" ht="107.4" x14ac:dyDescent="1.9">
      <c r="A92" s="78"/>
      <c r="B92" s="62"/>
      <c r="C92" s="63"/>
      <c r="D92" s="64"/>
      <c r="E92" s="64">
        <v>1</v>
      </c>
      <c r="F92" s="173"/>
      <c r="G92" s="17">
        <v>160687</v>
      </c>
      <c r="H92" s="11" t="s">
        <v>203</v>
      </c>
      <c r="I92" s="26">
        <v>224</v>
      </c>
      <c r="J92" s="161">
        <v>28</v>
      </c>
      <c r="K92" s="64">
        <v>1</v>
      </c>
    </row>
    <row r="93" spans="1:11" s="7" customFormat="1" ht="107.4" x14ac:dyDescent="1.9">
      <c r="A93" s="78"/>
      <c r="B93" s="62"/>
      <c r="C93" s="63"/>
      <c r="D93" s="64"/>
      <c r="E93" s="64">
        <v>1</v>
      </c>
      <c r="F93" s="173"/>
      <c r="G93" s="17">
        <v>160015</v>
      </c>
      <c r="H93" s="11" t="s">
        <v>167</v>
      </c>
      <c r="I93" s="26">
        <v>224</v>
      </c>
      <c r="J93" s="161">
        <v>28</v>
      </c>
      <c r="K93" s="64">
        <v>1</v>
      </c>
    </row>
    <row r="94" spans="1:11" s="7" customFormat="1" ht="107.4" x14ac:dyDescent="1.9">
      <c r="A94" s="78"/>
      <c r="B94" s="62"/>
      <c r="C94" s="63"/>
      <c r="D94" s="64"/>
      <c r="E94" s="64">
        <v>1</v>
      </c>
      <c r="F94" s="173"/>
      <c r="G94" s="17">
        <v>160106</v>
      </c>
      <c r="H94" s="11" t="s">
        <v>168</v>
      </c>
      <c r="I94" s="26">
        <v>224</v>
      </c>
      <c r="J94" s="161">
        <v>28</v>
      </c>
      <c r="K94" s="64">
        <v>1</v>
      </c>
    </row>
    <row r="95" spans="1:11" s="7" customFormat="1" ht="107.4" x14ac:dyDescent="1.9">
      <c r="A95" s="78"/>
      <c r="B95" s="62"/>
      <c r="C95" s="63"/>
      <c r="D95" s="64"/>
      <c r="E95" s="64">
        <v>1</v>
      </c>
      <c r="F95" s="173"/>
      <c r="G95" s="17">
        <v>160478</v>
      </c>
      <c r="H95" s="11" t="s">
        <v>166</v>
      </c>
      <c r="I95" s="26">
        <v>224</v>
      </c>
      <c r="J95" s="161">
        <v>28</v>
      </c>
      <c r="K95" s="64">
        <v>1</v>
      </c>
    </row>
    <row r="96" spans="1:11" s="7" customFormat="1" ht="107.4" x14ac:dyDescent="1.9">
      <c r="A96" s="47"/>
      <c r="B96" s="12"/>
      <c r="C96" s="27"/>
      <c r="D96" s="34"/>
      <c r="E96" s="34"/>
      <c r="F96" s="172"/>
      <c r="G96" s="60"/>
      <c r="H96" s="12"/>
      <c r="I96" s="27"/>
      <c r="J96" s="103"/>
      <c r="K96" s="34"/>
    </row>
    <row r="97" spans="1:11" s="7" customFormat="1" ht="107.4" x14ac:dyDescent="1.9">
      <c r="A97" s="90"/>
      <c r="B97" s="62"/>
      <c r="C97" s="63"/>
      <c r="D97" s="64"/>
      <c r="E97" s="64">
        <v>1</v>
      </c>
      <c r="F97" s="173"/>
      <c r="G97" s="21">
        <v>50381</v>
      </c>
      <c r="H97" s="11" t="s">
        <v>132</v>
      </c>
      <c r="I97" s="26">
        <v>154</v>
      </c>
      <c r="J97" s="161">
        <v>22</v>
      </c>
      <c r="K97" s="64">
        <v>1</v>
      </c>
    </row>
    <row r="98" spans="1:11" s="7" customFormat="1" ht="107.4" x14ac:dyDescent="1.9">
      <c r="A98" s="90"/>
      <c r="B98" s="62"/>
      <c r="C98" s="63"/>
      <c r="D98" s="64"/>
      <c r="E98" s="64">
        <v>1</v>
      </c>
      <c r="F98" s="173"/>
      <c r="G98" s="21">
        <v>50382</v>
      </c>
      <c r="H98" s="11" t="s">
        <v>133</v>
      </c>
      <c r="I98" s="26">
        <v>154</v>
      </c>
      <c r="J98" s="161">
        <v>22</v>
      </c>
      <c r="K98" s="64">
        <v>1</v>
      </c>
    </row>
    <row r="99" spans="1:11" s="7" customFormat="1" ht="107.4" x14ac:dyDescent="1.9">
      <c r="A99" s="91"/>
      <c r="B99" s="62"/>
      <c r="C99" s="63"/>
      <c r="D99" s="64"/>
      <c r="E99" s="154">
        <v>1</v>
      </c>
      <c r="F99" s="179"/>
      <c r="G99" s="48">
        <v>50383</v>
      </c>
      <c r="H99" s="11" t="s">
        <v>146</v>
      </c>
      <c r="I99" s="26">
        <v>154</v>
      </c>
      <c r="J99" s="161">
        <v>22</v>
      </c>
      <c r="K99" s="154">
        <v>1</v>
      </c>
    </row>
    <row r="100" spans="1:11" s="7" customFormat="1" ht="107.4" x14ac:dyDescent="1.9">
      <c r="A100" s="78"/>
      <c r="B100" s="62"/>
      <c r="C100" s="63"/>
      <c r="D100" s="64"/>
      <c r="E100" s="64">
        <v>1</v>
      </c>
      <c r="F100" s="173"/>
      <c r="G100" s="17">
        <v>160558</v>
      </c>
      <c r="H100" s="11" t="s">
        <v>185</v>
      </c>
      <c r="I100" s="26">
        <v>200</v>
      </c>
      <c r="J100" s="161">
        <v>20</v>
      </c>
      <c r="K100" s="64">
        <v>1</v>
      </c>
    </row>
    <row r="101" spans="1:11" s="7" customFormat="1" ht="107.4" x14ac:dyDescent="1.9">
      <c r="A101" s="78"/>
      <c r="B101" s="62"/>
      <c r="C101" s="63"/>
      <c r="D101" s="64"/>
      <c r="E101" s="64">
        <v>1</v>
      </c>
      <c r="F101" s="173"/>
      <c r="G101" s="17">
        <v>160282</v>
      </c>
      <c r="H101" s="11" t="s">
        <v>124</v>
      </c>
      <c r="I101" s="26">
        <v>200</v>
      </c>
      <c r="J101" s="161">
        <v>20</v>
      </c>
      <c r="K101" s="64">
        <v>1</v>
      </c>
    </row>
    <row r="102" spans="1:11" s="7" customFormat="1" ht="107.4" x14ac:dyDescent="1.9">
      <c r="A102" s="78"/>
      <c r="B102" s="62"/>
      <c r="C102" s="63"/>
      <c r="D102" s="64"/>
      <c r="E102" s="64">
        <v>1</v>
      </c>
      <c r="F102" s="173"/>
      <c r="G102" s="17">
        <v>160457</v>
      </c>
      <c r="H102" s="11" t="s">
        <v>153</v>
      </c>
      <c r="I102" s="26">
        <v>200</v>
      </c>
      <c r="J102" s="161">
        <v>20</v>
      </c>
      <c r="K102" s="64">
        <v>1</v>
      </c>
    </row>
    <row r="103" spans="1:11" s="7" customFormat="1" ht="107.4" x14ac:dyDescent="1.9">
      <c r="A103" s="78"/>
      <c r="B103" s="62"/>
      <c r="C103" s="63"/>
      <c r="D103" s="64"/>
      <c r="E103" s="64">
        <v>1</v>
      </c>
      <c r="F103" s="173"/>
      <c r="G103" s="17">
        <v>160304</v>
      </c>
      <c r="H103" s="11" t="s">
        <v>142</v>
      </c>
      <c r="I103" s="26">
        <v>200</v>
      </c>
      <c r="J103" s="161">
        <v>20</v>
      </c>
      <c r="K103" s="64">
        <v>1</v>
      </c>
    </row>
    <row r="104" spans="1:11" s="7" customFormat="1" ht="107.4" x14ac:dyDescent="1.9">
      <c r="A104" s="78"/>
      <c r="B104" s="62"/>
      <c r="C104" s="63"/>
      <c r="D104" s="64"/>
      <c r="E104" s="64">
        <v>1</v>
      </c>
      <c r="F104" s="173"/>
      <c r="G104" s="17">
        <v>160393</v>
      </c>
      <c r="H104" s="11" t="s">
        <v>143</v>
      </c>
      <c r="I104" s="26">
        <v>200</v>
      </c>
      <c r="J104" s="161">
        <v>20</v>
      </c>
      <c r="K104" s="64">
        <v>1</v>
      </c>
    </row>
    <row r="105" spans="1:11" s="7" customFormat="1" ht="107.4" x14ac:dyDescent="1.9">
      <c r="A105" s="78"/>
      <c r="B105" s="62"/>
      <c r="C105" s="63"/>
      <c r="D105" s="64"/>
      <c r="E105" s="64">
        <v>1</v>
      </c>
      <c r="F105" s="173"/>
      <c r="G105" s="17">
        <v>160394</v>
      </c>
      <c r="H105" s="11" t="s">
        <v>144</v>
      </c>
      <c r="I105" s="26">
        <v>200</v>
      </c>
      <c r="J105" s="161">
        <v>20</v>
      </c>
      <c r="K105" s="64">
        <v>1</v>
      </c>
    </row>
    <row r="106" spans="1:11" s="7" customFormat="1" ht="107.4" x14ac:dyDescent="1.9">
      <c r="A106" s="78"/>
      <c r="B106" s="62"/>
      <c r="C106" s="63"/>
      <c r="D106" s="64"/>
      <c r="E106" s="64">
        <v>1</v>
      </c>
      <c r="F106" s="173"/>
      <c r="G106" s="17"/>
      <c r="H106" s="11"/>
      <c r="I106" s="26"/>
      <c r="J106" s="161"/>
      <c r="K106" s="64">
        <v>1</v>
      </c>
    </row>
    <row r="107" spans="1:11" s="7" customFormat="1" ht="107.4" x14ac:dyDescent="1.9">
      <c r="A107" s="78"/>
      <c r="B107" s="62"/>
      <c r="C107" s="63"/>
      <c r="D107" s="64"/>
      <c r="E107" s="64">
        <v>1</v>
      </c>
      <c r="F107" s="173"/>
      <c r="G107" s="17">
        <v>135660</v>
      </c>
      <c r="H107" s="11" t="s">
        <v>244</v>
      </c>
      <c r="I107" s="26">
        <v>288</v>
      </c>
      <c r="J107" s="161">
        <v>32</v>
      </c>
      <c r="K107" s="64">
        <v>1</v>
      </c>
    </row>
    <row r="108" spans="1:11" s="7" customFormat="1" ht="108" customHeight="1" x14ac:dyDescent="1.9">
      <c r="A108" s="78">
        <v>135761</v>
      </c>
      <c r="B108" s="62" t="s">
        <v>99</v>
      </c>
      <c r="C108" s="63">
        <v>288</v>
      </c>
      <c r="D108" s="64">
        <v>32</v>
      </c>
      <c r="E108" s="64">
        <v>12</v>
      </c>
      <c r="F108" s="173"/>
      <c r="G108" s="17">
        <v>136397</v>
      </c>
      <c r="H108" s="11" t="s">
        <v>99</v>
      </c>
      <c r="I108" s="26">
        <v>288</v>
      </c>
      <c r="J108" s="161">
        <v>32</v>
      </c>
      <c r="K108" s="64">
        <v>1</v>
      </c>
    </row>
    <row r="109" spans="1:11" s="7" customFormat="1" ht="107.4" x14ac:dyDescent="1.9">
      <c r="A109" s="78">
        <v>160200</v>
      </c>
      <c r="B109" s="62" t="s">
        <v>78</v>
      </c>
      <c r="C109" s="63">
        <v>288</v>
      </c>
      <c r="D109" s="64">
        <v>32</v>
      </c>
      <c r="E109" s="64">
        <v>12</v>
      </c>
      <c r="F109" s="173"/>
      <c r="G109" s="78">
        <v>160200</v>
      </c>
      <c r="H109" s="62" t="s">
        <v>78</v>
      </c>
      <c r="I109" s="63">
        <v>288</v>
      </c>
      <c r="J109" s="157">
        <v>32</v>
      </c>
      <c r="K109" s="64">
        <v>12</v>
      </c>
    </row>
    <row r="110" spans="1:11" s="7" customFormat="1" ht="107.4" x14ac:dyDescent="1.9">
      <c r="A110" s="90"/>
      <c r="B110" s="66"/>
      <c r="C110" s="63"/>
      <c r="D110" s="64"/>
      <c r="E110" s="64">
        <v>1</v>
      </c>
      <c r="F110" s="173"/>
      <c r="G110" s="90">
        <v>160205</v>
      </c>
      <c r="H110" s="66" t="s">
        <v>82</v>
      </c>
      <c r="I110" s="63">
        <v>288</v>
      </c>
      <c r="J110" s="157">
        <v>32</v>
      </c>
      <c r="K110" s="64">
        <v>12</v>
      </c>
    </row>
    <row r="111" spans="1:11" s="7" customFormat="1" ht="107.4" x14ac:dyDescent="1.9">
      <c r="A111" s="90"/>
      <c r="B111" s="66"/>
      <c r="C111" s="63"/>
      <c r="D111" s="64"/>
      <c r="E111" s="64">
        <v>1</v>
      </c>
      <c r="F111" s="173"/>
      <c r="G111" s="21">
        <v>160204</v>
      </c>
      <c r="H111" s="20" t="s">
        <v>83</v>
      </c>
      <c r="I111" s="26">
        <v>288</v>
      </c>
      <c r="J111" s="161">
        <v>32</v>
      </c>
      <c r="K111" s="64">
        <v>1</v>
      </c>
    </row>
    <row r="112" spans="1:11" s="7" customFormat="1" ht="107.4" x14ac:dyDescent="1.9">
      <c r="A112" s="78"/>
      <c r="B112" s="62"/>
      <c r="C112" s="63"/>
      <c r="D112" s="64"/>
      <c r="E112" s="64">
        <v>1</v>
      </c>
      <c r="F112" s="173"/>
      <c r="G112" s="17">
        <v>160203</v>
      </c>
      <c r="H112" s="11" t="s">
        <v>79</v>
      </c>
      <c r="I112" s="26">
        <v>288</v>
      </c>
      <c r="J112" s="161">
        <v>32</v>
      </c>
      <c r="K112" s="64">
        <v>1</v>
      </c>
    </row>
    <row r="113" spans="1:11" s="7" customFormat="1" ht="94.2" x14ac:dyDescent="1.7">
      <c r="C113" s="36"/>
      <c r="D113" s="36"/>
      <c r="E113" s="36"/>
      <c r="F113" s="180"/>
      <c r="G113" s="107"/>
      <c r="H113" s="107"/>
      <c r="I113" s="113"/>
      <c r="J113" s="113"/>
      <c r="K113" s="36"/>
    </row>
    <row r="114" spans="1:11" s="7" customFormat="1" ht="107.4" x14ac:dyDescent="1.9">
      <c r="A114" s="78"/>
      <c r="B114" s="66"/>
      <c r="C114" s="67"/>
      <c r="D114" s="64"/>
      <c r="E114" s="64">
        <v>1</v>
      </c>
      <c r="F114" s="173"/>
      <c r="G114" s="17">
        <v>50232</v>
      </c>
      <c r="H114" s="20" t="s">
        <v>92</v>
      </c>
      <c r="I114" s="28">
        <v>180</v>
      </c>
      <c r="J114" s="161">
        <v>18</v>
      </c>
      <c r="K114" s="64">
        <v>1</v>
      </c>
    </row>
    <row r="115" spans="1:11" s="7" customFormat="1" ht="107.4" x14ac:dyDescent="1.9">
      <c r="A115" s="78"/>
      <c r="B115" s="66"/>
      <c r="C115" s="67"/>
      <c r="D115" s="64"/>
      <c r="E115" s="64">
        <v>1</v>
      </c>
      <c r="F115" s="173"/>
      <c r="G115" s="17">
        <v>50233</v>
      </c>
      <c r="H115" s="20" t="s">
        <v>94</v>
      </c>
      <c r="I115" s="28">
        <v>180</v>
      </c>
      <c r="J115" s="161">
        <v>18</v>
      </c>
      <c r="K115" s="64">
        <v>1</v>
      </c>
    </row>
    <row r="116" spans="1:11" s="7" customFormat="1" ht="107.4" x14ac:dyDescent="1.9">
      <c r="A116" s="78"/>
      <c r="B116" s="66"/>
      <c r="C116" s="67"/>
      <c r="D116" s="64"/>
      <c r="E116" s="64">
        <v>1</v>
      </c>
      <c r="F116" s="173"/>
      <c r="G116" s="17">
        <v>50234</v>
      </c>
      <c r="H116" s="20" t="s">
        <v>95</v>
      </c>
      <c r="I116" s="28">
        <v>180</v>
      </c>
      <c r="J116" s="161">
        <v>18</v>
      </c>
      <c r="K116" s="64">
        <v>1</v>
      </c>
    </row>
    <row r="117" spans="1:11" s="7" customFormat="1" ht="107.4" x14ac:dyDescent="1.9">
      <c r="A117" s="90"/>
      <c r="B117" s="66"/>
      <c r="C117" s="67"/>
      <c r="D117" s="64"/>
      <c r="E117" s="64">
        <v>1</v>
      </c>
      <c r="F117" s="173"/>
      <c r="G117" s="21">
        <v>50258</v>
      </c>
      <c r="H117" s="20" t="s">
        <v>88</v>
      </c>
      <c r="I117" s="28">
        <v>180</v>
      </c>
      <c r="J117" s="161">
        <v>18</v>
      </c>
      <c r="K117" s="64">
        <v>1</v>
      </c>
    </row>
    <row r="118" spans="1:11" s="7" customFormat="1" ht="107.4" x14ac:dyDescent="1.9">
      <c r="A118" s="90"/>
      <c r="B118" s="66"/>
      <c r="C118" s="67"/>
      <c r="D118" s="64"/>
      <c r="E118" s="64">
        <v>1</v>
      </c>
      <c r="F118" s="173"/>
      <c r="G118" s="21">
        <v>50254</v>
      </c>
      <c r="H118" s="20" t="s">
        <v>90</v>
      </c>
      <c r="I118" s="28">
        <v>180</v>
      </c>
      <c r="J118" s="161">
        <v>18</v>
      </c>
      <c r="K118" s="64">
        <v>1</v>
      </c>
    </row>
    <row r="119" spans="1:11" s="7" customFormat="1" ht="107.4" x14ac:dyDescent="1.9">
      <c r="A119" s="47"/>
      <c r="B119" s="12"/>
      <c r="C119" s="27"/>
      <c r="D119" s="34"/>
      <c r="E119" s="34"/>
      <c r="F119" s="172"/>
      <c r="G119" s="60"/>
      <c r="H119" s="12"/>
      <c r="I119" s="27"/>
      <c r="J119" s="103"/>
      <c r="K119" s="34"/>
    </row>
    <row r="120" spans="1:11" s="7" customFormat="1" ht="107.4" x14ac:dyDescent="1.9">
      <c r="A120" s="78"/>
      <c r="B120" s="62"/>
      <c r="C120" s="63"/>
      <c r="D120" s="64"/>
      <c r="E120" s="64">
        <v>1</v>
      </c>
      <c r="F120" s="173"/>
      <c r="G120" s="17">
        <v>8337</v>
      </c>
      <c r="H120" s="11" t="s">
        <v>129</v>
      </c>
      <c r="I120" s="26">
        <v>308</v>
      </c>
      <c r="J120" s="161">
        <v>22</v>
      </c>
      <c r="K120" s="64">
        <v>1</v>
      </c>
    </row>
    <row r="121" spans="1:11" s="7" customFormat="1" ht="107.4" x14ac:dyDescent="1.9">
      <c r="A121" s="78"/>
      <c r="B121" s="62"/>
      <c r="C121" s="63"/>
      <c r="D121" s="64"/>
      <c r="E121" s="64">
        <v>1</v>
      </c>
      <c r="F121" s="173"/>
      <c r="G121" s="17">
        <v>632</v>
      </c>
      <c r="H121" s="11" t="s">
        <v>131</v>
      </c>
      <c r="I121" s="26">
        <v>308</v>
      </c>
      <c r="J121" s="161">
        <v>22</v>
      </c>
      <c r="K121" s="64">
        <v>1</v>
      </c>
    </row>
    <row r="122" spans="1:11" s="7" customFormat="1" ht="107.4" x14ac:dyDescent="1.9">
      <c r="A122" s="78"/>
      <c r="B122" s="62"/>
      <c r="C122" s="63"/>
      <c r="D122" s="64"/>
      <c r="E122" s="64">
        <v>1</v>
      </c>
      <c r="F122" s="173"/>
      <c r="G122" s="17">
        <v>50321</v>
      </c>
      <c r="H122" s="11" t="s">
        <v>130</v>
      </c>
      <c r="I122" s="26">
        <v>308</v>
      </c>
      <c r="J122" s="161">
        <v>22</v>
      </c>
      <c r="K122" s="64">
        <v>1</v>
      </c>
    </row>
    <row r="123" spans="1:11" s="7" customFormat="1" ht="107.4" x14ac:dyDescent="1.9">
      <c r="A123" s="78"/>
      <c r="B123" s="62"/>
      <c r="C123" s="63"/>
      <c r="D123" s="64"/>
      <c r="E123" s="64">
        <v>1</v>
      </c>
      <c r="F123" s="173"/>
      <c r="G123" s="17">
        <v>9160</v>
      </c>
      <c r="H123" s="11" t="s">
        <v>111</v>
      </c>
      <c r="I123" s="26">
        <v>308</v>
      </c>
      <c r="J123" s="161">
        <v>22</v>
      </c>
      <c r="K123" s="64">
        <v>1</v>
      </c>
    </row>
    <row r="124" spans="1:11" s="7" customFormat="1" ht="107.4" x14ac:dyDescent="1.9">
      <c r="A124" s="78"/>
      <c r="B124" s="62"/>
      <c r="C124" s="63"/>
      <c r="D124" s="64"/>
      <c r="E124" s="64">
        <v>1</v>
      </c>
      <c r="F124" s="173"/>
      <c r="G124" s="17">
        <v>9161</v>
      </c>
      <c r="H124" s="11" t="s">
        <v>112</v>
      </c>
      <c r="I124" s="26">
        <v>308</v>
      </c>
      <c r="J124" s="161">
        <v>22</v>
      </c>
      <c r="K124" s="64">
        <v>1</v>
      </c>
    </row>
    <row r="125" spans="1:11" s="7" customFormat="1" ht="107.4" x14ac:dyDescent="1.9">
      <c r="A125" s="78"/>
      <c r="B125" s="62"/>
      <c r="C125" s="63"/>
      <c r="D125" s="64"/>
      <c r="E125" s="64">
        <v>1</v>
      </c>
      <c r="F125" s="173"/>
      <c r="G125" s="17">
        <v>9162</v>
      </c>
      <c r="H125" s="11" t="s">
        <v>113</v>
      </c>
      <c r="I125" s="26">
        <v>308</v>
      </c>
      <c r="J125" s="161">
        <v>22</v>
      </c>
      <c r="K125" s="64">
        <v>1</v>
      </c>
    </row>
    <row r="126" spans="1:11" s="7" customFormat="1" ht="108" customHeight="1" x14ac:dyDescent="1.7">
      <c r="A126" s="55" t="s">
        <v>0</v>
      </c>
      <c r="B126" s="55" t="s">
        <v>1</v>
      </c>
      <c r="C126" s="56" t="s">
        <v>114</v>
      </c>
      <c r="D126" s="57" t="s">
        <v>115</v>
      </c>
      <c r="E126" s="57"/>
      <c r="F126" s="170"/>
      <c r="G126" s="55" t="s">
        <v>0</v>
      </c>
      <c r="H126" s="55" t="s">
        <v>1</v>
      </c>
      <c r="I126" s="56" t="s">
        <v>114</v>
      </c>
      <c r="J126" s="158" t="s">
        <v>115</v>
      </c>
      <c r="K126" s="57"/>
    </row>
    <row r="127" spans="1:11" s="7" customFormat="1" ht="108" customHeight="1" x14ac:dyDescent="1.9">
      <c r="A127" s="78">
        <v>120181</v>
      </c>
      <c r="B127" s="62" t="s">
        <v>440</v>
      </c>
      <c r="C127" s="63">
        <v>1</v>
      </c>
      <c r="D127" s="64">
        <v>22</v>
      </c>
      <c r="E127" s="64">
        <v>12</v>
      </c>
      <c r="F127" s="173"/>
      <c r="G127" s="78">
        <v>120181</v>
      </c>
      <c r="H127" s="62" t="s">
        <v>440</v>
      </c>
      <c r="I127" s="63">
        <v>1</v>
      </c>
      <c r="J127" s="157">
        <v>22</v>
      </c>
      <c r="K127" s="64">
        <v>12</v>
      </c>
    </row>
    <row r="128" spans="1:11" s="7" customFormat="1" ht="108" customHeight="1" x14ac:dyDescent="1.9">
      <c r="A128" s="78">
        <v>120156</v>
      </c>
      <c r="B128" s="62" t="s">
        <v>441</v>
      </c>
      <c r="C128" s="63">
        <v>1</v>
      </c>
      <c r="D128" s="64">
        <v>22</v>
      </c>
      <c r="E128" s="64">
        <v>12</v>
      </c>
      <c r="F128" s="173"/>
      <c r="G128" s="78">
        <v>120156</v>
      </c>
      <c r="H128" s="62" t="s">
        <v>441</v>
      </c>
      <c r="I128" s="63">
        <v>1</v>
      </c>
      <c r="J128" s="157">
        <v>22</v>
      </c>
      <c r="K128" s="64">
        <v>12</v>
      </c>
    </row>
    <row r="129" spans="1:11" s="7" customFormat="1" ht="108" customHeight="1" x14ac:dyDescent="1.9">
      <c r="A129" s="78">
        <v>120182</v>
      </c>
      <c r="B129" s="62" t="s">
        <v>442</v>
      </c>
      <c r="C129" s="63">
        <v>1</v>
      </c>
      <c r="D129" s="64">
        <v>22</v>
      </c>
      <c r="E129" s="64">
        <v>12</v>
      </c>
      <c r="F129" s="173"/>
      <c r="G129" s="78">
        <v>120182</v>
      </c>
      <c r="H129" s="62" t="s">
        <v>442</v>
      </c>
      <c r="I129" s="63">
        <v>1</v>
      </c>
      <c r="J129" s="157">
        <v>22</v>
      </c>
      <c r="K129" s="64">
        <v>12</v>
      </c>
    </row>
    <row r="130" spans="1:11" s="7" customFormat="1" ht="108" customHeight="1" x14ac:dyDescent="1.9">
      <c r="A130" s="78">
        <v>120183</v>
      </c>
      <c r="B130" s="62" t="s">
        <v>443</v>
      </c>
      <c r="C130" s="63">
        <v>1</v>
      </c>
      <c r="D130" s="64">
        <v>22</v>
      </c>
      <c r="E130" s="64">
        <v>12</v>
      </c>
      <c r="F130" s="173"/>
      <c r="G130" s="78">
        <v>120183</v>
      </c>
      <c r="H130" s="62" t="s">
        <v>443</v>
      </c>
      <c r="I130" s="63">
        <v>1</v>
      </c>
      <c r="J130" s="157">
        <v>22</v>
      </c>
      <c r="K130" s="64">
        <v>12</v>
      </c>
    </row>
    <row r="131" spans="1:11" s="7" customFormat="1" ht="108" customHeight="1" x14ac:dyDescent="1.9">
      <c r="A131" s="78">
        <v>160259</v>
      </c>
      <c r="B131" s="62" t="s">
        <v>444</v>
      </c>
      <c r="C131" s="63">
        <v>70</v>
      </c>
      <c r="D131" s="64">
        <v>10</v>
      </c>
      <c r="E131" s="64">
        <v>24</v>
      </c>
      <c r="F131" s="173"/>
      <c r="G131" s="78">
        <v>160259</v>
      </c>
      <c r="H131" s="62" t="s">
        <v>444</v>
      </c>
      <c r="I131" s="63">
        <v>1</v>
      </c>
      <c r="J131" s="157">
        <v>22</v>
      </c>
      <c r="K131" s="64">
        <v>12</v>
      </c>
    </row>
    <row r="132" spans="1:11" s="7" customFormat="1" ht="108" customHeight="1" x14ac:dyDescent="1.9">
      <c r="A132" s="78">
        <v>120023</v>
      </c>
      <c r="B132" s="62" t="s">
        <v>297</v>
      </c>
      <c r="C132" s="63">
        <v>70</v>
      </c>
      <c r="D132" s="64">
        <v>10</v>
      </c>
      <c r="E132" s="64">
        <v>24</v>
      </c>
      <c r="F132" s="173"/>
      <c r="G132" s="78">
        <v>120023</v>
      </c>
      <c r="H132" s="62" t="s">
        <v>297</v>
      </c>
      <c r="I132" s="63">
        <v>1</v>
      </c>
      <c r="J132" s="64">
        <v>22</v>
      </c>
      <c r="K132" s="64">
        <v>12</v>
      </c>
    </row>
    <row r="133" spans="1:11" s="7" customFormat="1" ht="108" customHeight="1" x14ac:dyDescent="1.9">
      <c r="A133" s="78">
        <v>120027</v>
      </c>
      <c r="B133" s="62" t="s">
        <v>300</v>
      </c>
      <c r="C133" s="63">
        <v>70</v>
      </c>
      <c r="D133" s="64">
        <v>10</v>
      </c>
      <c r="E133" s="64">
        <v>24</v>
      </c>
      <c r="F133" s="173"/>
      <c r="G133" s="78">
        <v>120027</v>
      </c>
      <c r="H133" s="62" t="s">
        <v>300</v>
      </c>
      <c r="I133" s="63">
        <v>70</v>
      </c>
      <c r="J133" s="64">
        <v>10</v>
      </c>
      <c r="K133" s="64">
        <v>24</v>
      </c>
    </row>
    <row r="134" spans="1:11" s="7" customFormat="1" ht="108" customHeight="1" x14ac:dyDescent="1.9">
      <c r="A134" s="78">
        <v>160378</v>
      </c>
      <c r="B134" s="62" t="s">
        <v>445</v>
      </c>
      <c r="C134" s="63">
        <v>70</v>
      </c>
      <c r="D134" s="64">
        <v>10</v>
      </c>
      <c r="E134" s="64">
        <v>24</v>
      </c>
      <c r="F134" s="173"/>
      <c r="G134" s="78">
        <v>160378</v>
      </c>
      <c r="H134" s="62" t="s">
        <v>445</v>
      </c>
      <c r="I134" s="63">
        <v>70</v>
      </c>
      <c r="J134" s="64">
        <v>10</v>
      </c>
      <c r="K134" s="64">
        <v>24</v>
      </c>
    </row>
    <row r="135" spans="1:11" s="7" customFormat="1" ht="108" customHeight="1" x14ac:dyDescent="1.9">
      <c r="A135" s="78">
        <v>120057</v>
      </c>
      <c r="B135" s="62" t="s">
        <v>446</v>
      </c>
      <c r="C135" s="63">
        <v>70</v>
      </c>
      <c r="D135" s="64">
        <v>10</v>
      </c>
      <c r="E135" s="64">
        <v>24</v>
      </c>
      <c r="F135" s="173"/>
      <c r="G135" s="78">
        <v>120057</v>
      </c>
      <c r="H135" s="62" t="s">
        <v>446</v>
      </c>
      <c r="I135" s="63">
        <v>70</v>
      </c>
      <c r="J135" s="64">
        <v>10</v>
      </c>
      <c r="K135" s="64">
        <v>24</v>
      </c>
    </row>
    <row r="136" spans="1:11" s="7" customFormat="1" ht="108" customHeight="1" x14ac:dyDescent="1.9">
      <c r="A136" s="78">
        <v>120112</v>
      </c>
      <c r="B136" s="62" t="s">
        <v>447</v>
      </c>
      <c r="C136" s="63">
        <v>70</v>
      </c>
      <c r="D136" s="64">
        <v>10</v>
      </c>
      <c r="E136" s="64">
        <v>24</v>
      </c>
      <c r="F136" s="173"/>
      <c r="G136" s="78">
        <v>120112</v>
      </c>
      <c r="H136" s="62" t="s">
        <v>447</v>
      </c>
      <c r="I136" s="63">
        <v>70</v>
      </c>
      <c r="J136" s="64">
        <v>10</v>
      </c>
      <c r="K136" s="64">
        <v>24</v>
      </c>
    </row>
    <row r="137" spans="1:11" s="7" customFormat="1" ht="108" customHeight="1" x14ac:dyDescent="1.9">
      <c r="A137" s="78">
        <v>120175</v>
      </c>
      <c r="B137" s="62" t="s">
        <v>448</v>
      </c>
      <c r="C137" s="63">
        <v>70</v>
      </c>
      <c r="D137" s="64">
        <v>10</v>
      </c>
      <c r="E137" s="64">
        <v>24</v>
      </c>
      <c r="F137" s="173"/>
      <c r="G137" s="78">
        <v>120175</v>
      </c>
      <c r="H137" s="62" t="s">
        <v>448</v>
      </c>
      <c r="I137" s="63">
        <v>70</v>
      </c>
      <c r="J137" s="64">
        <v>10</v>
      </c>
      <c r="K137" s="64">
        <v>24</v>
      </c>
    </row>
    <row r="138" spans="1:11" s="7" customFormat="1" ht="108" customHeight="1" x14ac:dyDescent="1.9">
      <c r="A138" s="78"/>
      <c r="B138" s="62"/>
      <c r="C138" s="63"/>
      <c r="D138" s="64"/>
      <c r="E138" s="64">
        <v>1</v>
      </c>
      <c r="F138" s="173"/>
      <c r="G138" s="78"/>
      <c r="H138" s="62"/>
      <c r="I138" s="63"/>
      <c r="J138" s="64"/>
      <c r="K138" s="64"/>
    </row>
    <row r="139" spans="1:11" s="7" customFormat="1" ht="108" customHeight="1" x14ac:dyDescent="1.9">
      <c r="A139" s="10"/>
      <c r="B139" s="11"/>
      <c r="C139" s="26"/>
      <c r="D139" s="35"/>
      <c r="E139" s="35"/>
      <c r="F139" s="173"/>
      <c r="G139" s="17"/>
      <c r="H139" s="11"/>
      <c r="I139" s="26"/>
      <c r="J139" s="102"/>
      <c r="K139" s="35"/>
    </row>
    <row r="140" spans="1:11" s="7" customFormat="1" ht="108" customHeight="1" x14ac:dyDescent="1.9">
      <c r="A140" s="78">
        <v>160186</v>
      </c>
      <c r="B140" s="62" t="s">
        <v>28</v>
      </c>
      <c r="C140" s="63">
        <v>424</v>
      </c>
      <c r="D140" s="64">
        <v>53</v>
      </c>
      <c r="E140" s="64">
        <v>6</v>
      </c>
      <c r="F140" s="173"/>
      <c r="G140" s="78">
        <v>160186</v>
      </c>
      <c r="H140" s="62" t="s">
        <v>28</v>
      </c>
      <c r="I140" s="63">
        <v>424</v>
      </c>
      <c r="J140" s="157">
        <v>53</v>
      </c>
      <c r="K140" s="64">
        <v>6</v>
      </c>
    </row>
    <row r="141" spans="1:11" s="7" customFormat="1" ht="108" customHeight="1" x14ac:dyDescent="1.9">
      <c r="A141" s="78">
        <v>160187</v>
      </c>
      <c r="B141" s="62" t="s">
        <v>29</v>
      </c>
      <c r="C141" s="63">
        <v>424</v>
      </c>
      <c r="D141" s="64">
        <v>53</v>
      </c>
      <c r="E141" s="64">
        <v>6</v>
      </c>
      <c r="F141" s="173"/>
      <c r="G141" s="78">
        <v>160187</v>
      </c>
      <c r="H141" s="62" t="s">
        <v>29</v>
      </c>
      <c r="I141" s="63">
        <v>424</v>
      </c>
      <c r="J141" s="157">
        <v>53</v>
      </c>
      <c r="K141" s="64">
        <v>6</v>
      </c>
    </row>
    <row r="142" spans="1:11" s="7" customFormat="1" ht="107.4" x14ac:dyDescent="1.9">
      <c r="A142" s="78">
        <v>160188</v>
      </c>
      <c r="B142" s="62" t="s">
        <v>101</v>
      </c>
      <c r="C142" s="63">
        <v>424</v>
      </c>
      <c r="D142" s="64">
        <v>53</v>
      </c>
      <c r="E142" s="64">
        <v>6</v>
      </c>
      <c r="F142" s="173"/>
      <c r="G142" s="78">
        <v>160188</v>
      </c>
      <c r="H142" s="62" t="s">
        <v>101</v>
      </c>
      <c r="I142" s="63">
        <v>424</v>
      </c>
      <c r="J142" s="157">
        <v>53</v>
      </c>
      <c r="K142" s="64">
        <v>6</v>
      </c>
    </row>
    <row r="143" spans="1:11" s="7" customFormat="1" ht="107.4" x14ac:dyDescent="1.9">
      <c r="A143" s="78">
        <v>160223</v>
      </c>
      <c r="B143" s="62" t="s">
        <v>194</v>
      </c>
      <c r="C143" s="63">
        <v>424</v>
      </c>
      <c r="D143" s="64">
        <v>53</v>
      </c>
      <c r="E143" s="64">
        <v>6</v>
      </c>
      <c r="F143" s="173"/>
      <c r="G143" s="78">
        <v>160223</v>
      </c>
      <c r="H143" s="62" t="s">
        <v>194</v>
      </c>
      <c r="I143" s="63">
        <v>424</v>
      </c>
      <c r="J143" s="157">
        <v>53</v>
      </c>
      <c r="K143" s="64">
        <v>6</v>
      </c>
    </row>
    <row r="144" spans="1:11" s="7" customFormat="1" ht="107.4" x14ac:dyDescent="1.9">
      <c r="A144" s="78"/>
      <c r="B144" s="62"/>
      <c r="C144" s="63"/>
      <c r="D144" s="64"/>
      <c r="E144" s="64">
        <v>1</v>
      </c>
      <c r="F144" s="173"/>
      <c r="G144" s="17">
        <v>160386</v>
      </c>
      <c r="H144" s="11" t="s">
        <v>140</v>
      </c>
      <c r="I144" s="26">
        <v>224</v>
      </c>
      <c r="J144" s="161">
        <v>28</v>
      </c>
      <c r="K144" s="64">
        <v>1</v>
      </c>
    </row>
    <row r="145" spans="1:11" s="7" customFormat="1" ht="107.4" x14ac:dyDescent="1.9">
      <c r="A145" s="83"/>
      <c r="B145" s="68"/>
      <c r="C145" s="65"/>
      <c r="D145" s="84"/>
      <c r="E145" s="84">
        <v>1</v>
      </c>
      <c r="F145" s="176"/>
      <c r="G145" s="110">
        <v>160390</v>
      </c>
      <c r="H145" s="15" t="s">
        <v>141</v>
      </c>
      <c r="I145" s="29">
        <v>224</v>
      </c>
      <c r="J145" s="162">
        <v>28</v>
      </c>
      <c r="K145" s="84">
        <v>1</v>
      </c>
    </row>
    <row r="146" spans="1:11" s="7" customFormat="1" ht="108" customHeight="1" x14ac:dyDescent="1.9">
      <c r="A146" s="78"/>
      <c r="B146" s="62"/>
      <c r="C146" s="63"/>
      <c r="D146" s="64"/>
      <c r="E146" s="64">
        <v>1</v>
      </c>
      <c r="F146" s="173"/>
      <c r="G146" s="17">
        <v>160223</v>
      </c>
      <c r="H146" s="11" t="s">
        <v>194</v>
      </c>
      <c r="I146" s="26">
        <v>400</v>
      </c>
      <c r="J146" s="161">
        <v>50</v>
      </c>
      <c r="K146" s="64">
        <v>1</v>
      </c>
    </row>
    <row r="147" spans="1:11" s="7" customFormat="1" ht="108" customHeight="1" x14ac:dyDescent="1.9">
      <c r="A147" s="49"/>
      <c r="B147" s="50"/>
      <c r="C147" s="69"/>
      <c r="D147" s="51"/>
      <c r="E147" s="51"/>
      <c r="F147" s="177"/>
      <c r="G147" s="111"/>
      <c r="H147" s="50"/>
      <c r="I147" s="69"/>
      <c r="J147" s="112"/>
      <c r="K147" s="51"/>
    </row>
    <row r="148" spans="1:11" s="7" customFormat="1" ht="108" customHeight="1" x14ac:dyDescent="1.9">
      <c r="A148" s="86">
        <v>160080</v>
      </c>
      <c r="B148" s="87" t="s">
        <v>4</v>
      </c>
      <c r="C148" s="88">
        <v>140</v>
      </c>
      <c r="D148" s="89">
        <v>28</v>
      </c>
      <c r="E148" s="89">
        <v>6</v>
      </c>
      <c r="F148" s="178"/>
      <c r="G148" s="86">
        <v>160080</v>
      </c>
      <c r="H148" s="87" t="s">
        <v>4</v>
      </c>
      <c r="I148" s="88">
        <v>140</v>
      </c>
      <c r="J148" s="163">
        <v>28</v>
      </c>
      <c r="K148" s="89">
        <v>6</v>
      </c>
    </row>
    <row r="149" spans="1:11" s="7" customFormat="1" ht="108" customHeight="1" x14ac:dyDescent="1.9">
      <c r="A149" s="83">
        <v>160081</v>
      </c>
      <c r="B149" s="68" t="s">
        <v>30</v>
      </c>
      <c r="C149" s="65">
        <v>140</v>
      </c>
      <c r="D149" s="84">
        <v>28</v>
      </c>
      <c r="E149" s="89">
        <v>6</v>
      </c>
      <c r="F149" s="176"/>
      <c r="G149" s="83">
        <v>160081</v>
      </c>
      <c r="H149" s="68" t="s">
        <v>30</v>
      </c>
      <c r="I149" s="65">
        <v>140</v>
      </c>
      <c r="J149" s="156">
        <v>28</v>
      </c>
      <c r="K149" s="89">
        <v>6</v>
      </c>
    </row>
    <row r="150" spans="1:11" s="7" customFormat="1" ht="107.4" x14ac:dyDescent="1.9">
      <c r="A150" s="49"/>
      <c r="B150" s="50"/>
      <c r="C150" s="69"/>
      <c r="D150" s="51"/>
      <c r="E150" s="51"/>
      <c r="F150" s="177"/>
      <c r="G150" s="111"/>
      <c r="H150" s="50"/>
      <c r="I150" s="69"/>
      <c r="J150" s="112"/>
      <c r="K150" s="51"/>
    </row>
    <row r="151" spans="1:11" s="7" customFormat="1" ht="107.4" x14ac:dyDescent="1.9">
      <c r="A151" s="86"/>
      <c r="B151" s="87"/>
      <c r="C151" s="88"/>
      <c r="D151" s="89"/>
      <c r="E151" s="89">
        <v>1</v>
      </c>
      <c r="F151" s="178"/>
      <c r="G151" s="114">
        <v>160395</v>
      </c>
      <c r="H151" s="14" t="s">
        <v>138</v>
      </c>
      <c r="I151" s="30">
        <v>55</v>
      </c>
      <c r="J151" s="164">
        <v>11</v>
      </c>
      <c r="K151" s="89">
        <v>1</v>
      </c>
    </row>
    <row r="152" spans="1:11" s="7" customFormat="1" ht="107.4" x14ac:dyDescent="1.9">
      <c r="A152" s="78"/>
      <c r="B152" s="62"/>
      <c r="C152" s="63"/>
      <c r="D152" s="64"/>
      <c r="E152" s="64">
        <v>1</v>
      </c>
      <c r="F152" s="173"/>
      <c r="G152" s="17">
        <v>160396</v>
      </c>
      <c r="H152" s="11" t="s">
        <v>139</v>
      </c>
      <c r="I152" s="26">
        <v>55</v>
      </c>
      <c r="J152" s="161">
        <v>11</v>
      </c>
      <c r="K152" s="64">
        <v>1</v>
      </c>
    </row>
    <row r="153" spans="1:11" s="7" customFormat="1" ht="107.4" x14ac:dyDescent="1.9">
      <c r="A153" s="78"/>
      <c r="B153" s="62"/>
      <c r="C153" s="63"/>
      <c r="D153" s="64"/>
      <c r="E153" s="64">
        <v>1</v>
      </c>
      <c r="F153" s="173"/>
      <c r="G153" s="17">
        <v>160476</v>
      </c>
      <c r="H153" s="11" t="s">
        <v>171</v>
      </c>
      <c r="I153" s="26">
        <v>55</v>
      </c>
      <c r="J153" s="161">
        <v>11</v>
      </c>
      <c r="K153" s="64">
        <v>1</v>
      </c>
    </row>
    <row r="154" spans="1:11" s="7" customFormat="1" ht="107.4" x14ac:dyDescent="1.9">
      <c r="A154" s="78"/>
      <c r="B154" s="62"/>
      <c r="C154" s="63"/>
      <c r="D154" s="64"/>
      <c r="E154" s="64">
        <v>1</v>
      </c>
      <c r="F154" s="173"/>
      <c r="G154" s="17">
        <v>160477</v>
      </c>
      <c r="H154" s="11" t="s">
        <v>172</v>
      </c>
      <c r="I154" s="26">
        <v>55</v>
      </c>
      <c r="J154" s="161">
        <v>11</v>
      </c>
      <c r="K154" s="64">
        <v>1</v>
      </c>
    </row>
    <row r="155" spans="1:11" s="7" customFormat="1" ht="107.4" x14ac:dyDescent="1.9">
      <c r="A155" s="78"/>
      <c r="B155" s="62"/>
      <c r="C155" s="63"/>
      <c r="D155" s="64"/>
      <c r="E155" s="64">
        <v>1</v>
      </c>
      <c r="F155" s="173"/>
      <c r="G155" s="17"/>
      <c r="H155" s="11"/>
      <c r="I155" s="26"/>
      <c r="J155" s="161"/>
      <c r="K155" s="64">
        <v>1</v>
      </c>
    </row>
    <row r="156" spans="1:11" s="7" customFormat="1" ht="107.4" x14ac:dyDescent="1.9">
      <c r="A156" s="78"/>
      <c r="B156" s="62"/>
      <c r="C156" s="63"/>
      <c r="D156" s="64"/>
      <c r="E156" s="64">
        <v>1</v>
      </c>
      <c r="F156" s="173"/>
      <c r="G156" s="17">
        <v>160171</v>
      </c>
      <c r="H156" s="11" t="s">
        <v>91</v>
      </c>
      <c r="I156" s="26">
        <v>168</v>
      </c>
      <c r="J156" s="161">
        <v>21</v>
      </c>
      <c r="K156" s="64">
        <v>1</v>
      </c>
    </row>
    <row r="157" spans="1:11" s="7" customFormat="1" ht="107.4" x14ac:dyDescent="1.9">
      <c r="A157" s="92"/>
      <c r="B157" s="62"/>
      <c r="C157" s="63"/>
      <c r="D157" s="64"/>
      <c r="E157" s="155">
        <v>1</v>
      </c>
      <c r="F157" s="177"/>
      <c r="G157" s="115">
        <v>160172</v>
      </c>
      <c r="H157" s="11" t="s">
        <v>148</v>
      </c>
      <c r="I157" s="26">
        <v>168</v>
      </c>
      <c r="J157" s="161">
        <v>21</v>
      </c>
      <c r="K157" s="155">
        <v>1</v>
      </c>
    </row>
    <row r="158" spans="1:11" s="7" customFormat="1" ht="107.4" x14ac:dyDescent="1.9">
      <c r="A158" s="92"/>
      <c r="B158" s="62"/>
      <c r="C158" s="63"/>
      <c r="D158" s="64"/>
      <c r="E158" s="155">
        <v>1</v>
      </c>
      <c r="F158" s="177"/>
      <c r="G158" s="115">
        <v>119977</v>
      </c>
      <c r="H158" s="11" t="s">
        <v>271</v>
      </c>
      <c r="I158" s="26">
        <v>200</v>
      </c>
      <c r="J158" s="161">
        <v>25</v>
      </c>
      <c r="K158" s="155">
        <v>1</v>
      </c>
    </row>
    <row r="159" spans="1:11" s="7" customFormat="1" ht="107.4" x14ac:dyDescent="1.9">
      <c r="A159" s="92">
        <v>120184</v>
      </c>
      <c r="B159" s="398" t="s">
        <v>493</v>
      </c>
      <c r="C159" s="63">
        <v>240</v>
      </c>
      <c r="D159" s="64">
        <v>30</v>
      </c>
      <c r="E159" s="155">
        <v>12</v>
      </c>
      <c r="F159" s="177"/>
      <c r="G159" s="115">
        <v>119981</v>
      </c>
      <c r="H159" s="11" t="s">
        <v>272</v>
      </c>
      <c r="I159" s="26">
        <v>200</v>
      </c>
      <c r="J159" s="161">
        <v>25</v>
      </c>
      <c r="K159" s="155">
        <v>1</v>
      </c>
    </row>
    <row r="160" spans="1:11" s="7" customFormat="1" ht="108" customHeight="1" x14ac:dyDescent="1.9">
      <c r="A160" s="78">
        <v>120158</v>
      </c>
      <c r="B160" s="398" t="s">
        <v>351</v>
      </c>
      <c r="C160" s="63">
        <v>240</v>
      </c>
      <c r="D160" s="64">
        <v>30</v>
      </c>
      <c r="E160" s="64">
        <v>12</v>
      </c>
      <c r="F160" s="173"/>
      <c r="G160" s="78">
        <v>120158</v>
      </c>
      <c r="H160" s="62" t="s">
        <v>351</v>
      </c>
      <c r="I160" s="63">
        <v>224</v>
      </c>
      <c r="J160" s="157">
        <v>28</v>
      </c>
      <c r="K160" s="64">
        <v>12</v>
      </c>
    </row>
    <row r="161" spans="1:11" s="7" customFormat="1" ht="108" customHeight="1" x14ac:dyDescent="1.9">
      <c r="A161" s="78">
        <v>120117</v>
      </c>
      <c r="B161" s="398" t="s">
        <v>187</v>
      </c>
      <c r="C161" s="63">
        <v>240</v>
      </c>
      <c r="D161" s="64">
        <v>30</v>
      </c>
      <c r="E161" s="64">
        <v>12</v>
      </c>
      <c r="F161" s="173"/>
      <c r="G161" s="78">
        <v>120117</v>
      </c>
      <c r="H161" s="62" t="s">
        <v>187</v>
      </c>
      <c r="I161" s="63">
        <v>224</v>
      </c>
      <c r="J161" s="157">
        <v>28</v>
      </c>
      <c r="K161" s="64">
        <v>12</v>
      </c>
    </row>
    <row r="162" spans="1:11" s="7" customFormat="1" ht="106.8" x14ac:dyDescent="1.9">
      <c r="A162" s="71"/>
      <c r="B162" s="71"/>
      <c r="C162" s="71"/>
      <c r="D162" s="71"/>
      <c r="E162" s="71"/>
      <c r="F162" s="181"/>
      <c r="G162" s="115"/>
      <c r="H162" s="115"/>
      <c r="I162" s="115"/>
      <c r="J162" s="115"/>
      <c r="K162" s="71"/>
    </row>
    <row r="163" spans="1:11" s="7" customFormat="1" ht="107.4" x14ac:dyDescent="1.9">
      <c r="A163" s="78"/>
      <c r="B163" s="62"/>
      <c r="C163" s="63"/>
      <c r="D163" s="64"/>
      <c r="E163" s="64">
        <v>1</v>
      </c>
      <c r="F163" s="173"/>
      <c r="G163" s="17">
        <v>160110</v>
      </c>
      <c r="H163" s="11" t="s">
        <v>31</v>
      </c>
      <c r="I163" s="26">
        <v>224</v>
      </c>
      <c r="J163" s="161">
        <v>28</v>
      </c>
      <c r="K163" s="64">
        <v>1</v>
      </c>
    </row>
    <row r="164" spans="1:11" s="7" customFormat="1" ht="107.4" x14ac:dyDescent="1.9">
      <c r="A164" s="78"/>
      <c r="B164" s="62"/>
      <c r="C164" s="63"/>
      <c r="D164" s="64"/>
      <c r="E164" s="64">
        <v>1</v>
      </c>
      <c r="F164" s="173"/>
      <c r="G164" s="17">
        <v>160111</v>
      </c>
      <c r="H164" s="11" t="s">
        <v>32</v>
      </c>
      <c r="I164" s="26">
        <v>224</v>
      </c>
      <c r="J164" s="161">
        <v>28</v>
      </c>
      <c r="K164" s="64">
        <v>1</v>
      </c>
    </row>
    <row r="165" spans="1:11" s="7" customFormat="1" ht="107.4" x14ac:dyDescent="1.9">
      <c r="A165" s="78"/>
      <c r="B165" s="62"/>
      <c r="C165" s="63"/>
      <c r="D165" s="64"/>
      <c r="E165" s="64">
        <v>1</v>
      </c>
      <c r="F165" s="173"/>
      <c r="G165" s="17">
        <v>160518</v>
      </c>
      <c r="H165" s="11" t="s">
        <v>190</v>
      </c>
      <c r="I165" s="26">
        <v>224</v>
      </c>
      <c r="J165" s="161">
        <v>28</v>
      </c>
      <c r="K165" s="64">
        <v>1</v>
      </c>
    </row>
    <row r="166" spans="1:11" s="7" customFormat="1" ht="107.4" x14ac:dyDescent="1.9">
      <c r="A166" s="78"/>
      <c r="B166" s="62"/>
      <c r="C166" s="63"/>
      <c r="D166" s="64"/>
      <c r="E166" s="64">
        <v>1</v>
      </c>
      <c r="F166" s="173"/>
      <c r="G166" s="17">
        <v>160112</v>
      </c>
      <c r="H166" s="11" t="s">
        <v>33</v>
      </c>
      <c r="I166" s="26">
        <v>224</v>
      </c>
      <c r="J166" s="161">
        <v>28</v>
      </c>
      <c r="K166" s="64">
        <v>1</v>
      </c>
    </row>
    <row r="167" spans="1:11" s="7" customFormat="1" ht="107.4" x14ac:dyDescent="1.9">
      <c r="A167" s="92"/>
      <c r="B167" s="62"/>
      <c r="C167" s="63"/>
      <c r="D167" s="64"/>
      <c r="E167" s="155">
        <v>1</v>
      </c>
      <c r="F167" s="177"/>
      <c r="G167" s="115">
        <v>160375</v>
      </c>
      <c r="H167" s="11" t="s">
        <v>135</v>
      </c>
      <c r="I167" s="26">
        <v>224</v>
      </c>
      <c r="J167" s="161">
        <v>28</v>
      </c>
      <c r="K167" s="155">
        <v>1</v>
      </c>
    </row>
    <row r="168" spans="1:11" s="7" customFormat="1" ht="107.4" x14ac:dyDescent="1.9">
      <c r="A168" s="83"/>
      <c r="B168" s="68"/>
      <c r="C168" s="65"/>
      <c r="D168" s="84"/>
      <c r="E168" s="84">
        <v>1</v>
      </c>
      <c r="F168" s="176"/>
      <c r="G168" s="110">
        <v>50028</v>
      </c>
      <c r="H168" s="15" t="s">
        <v>34</v>
      </c>
      <c r="I168" s="29">
        <v>126</v>
      </c>
      <c r="J168" s="162">
        <v>18</v>
      </c>
      <c r="K168" s="84">
        <v>1</v>
      </c>
    </row>
    <row r="169" spans="1:11" s="7" customFormat="1" ht="107.4" x14ac:dyDescent="1.9">
      <c r="A169" s="49"/>
      <c r="B169" s="50"/>
      <c r="C169" s="69"/>
      <c r="D169" s="51"/>
      <c r="E169" s="51"/>
      <c r="F169" s="177"/>
      <c r="G169" s="111"/>
      <c r="H169" s="50"/>
      <c r="I169" s="69"/>
      <c r="J169" s="112"/>
      <c r="K169" s="51"/>
    </row>
    <row r="170" spans="1:11" s="7" customFormat="1" ht="107.4" x14ac:dyDescent="1.9">
      <c r="A170" s="86">
        <v>120185</v>
      </c>
      <c r="B170" s="397" t="s">
        <v>492</v>
      </c>
      <c r="C170" s="88">
        <v>65</v>
      </c>
      <c r="D170" s="89">
        <v>13</v>
      </c>
      <c r="E170" s="89">
        <v>12</v>
      </c>
      <c r="F170" s="178"/>
      <c r="G170" s="114">
        <v>160295</v>
      </c>
      <c r="H170" s="14" t="s">
        <v>121</v>
      </c>
      <c r="I170" s="30">
        <v>65</v>
      </c>
      <c r="J170" s="164">
        <v>13</v>
      </c>
      <c r="K170" s="89">
        <v>1</v>
      </c>
    </row>
    <row r="171" spans="1:11" s="7" customFormat="1" ht="107.4" x14ac:dyDescent="1.9">
      <c r="A171" s="78">
        <v>120159</v>
      </c>
      <c r="B171" s="87" t="s">
        <v>122</v>
      </c>
      <c r="C171" s="63">
        <v>65</v>
      </c>
      <c r="D171" s="64">
        <v>13</v>
      </c>
      <c r="E171" s="64">
        <v>12</v>
      </c>
      <c r="F171" s="173"/>
      <c r="G171" s="78">
        <v>120159</v>
      </c>
      <c r="H171" s="87" t="s">
        <v>122</v>
      </c>
      <c r="I171" s="63">
        <v>65</v>
      </c>
      <c r="J171" s="157">
        <v>13</v>
      </c>
      <c r="K171" s="64">
        <v>12</v>
      </c>
    </row>
    <row r="172" spans="1:11" s="7" customFormat="1" ht="107.4" x14ac:dyDescent="1.9">
      <c r="A172" s="93"/>
      <c r="B172" s="68"/>
      <c r="C172" s="65"/>
      <c r="D172" s="84"/>
      <c r="E172" s="156">
        <v>1</v>
      </c>
      <c r="F172" s="182"/>
      <c r="G172" s="116">
        <v>160376</v>
      </c>
      <c r="H172" s="15" t="s">
        <v>136</v>
      </c>
      <c r="I172" s="29">
        <v>65</v>
      </c>
      <c r="J172" s="162">
        <v>13</v>
      </c>
      <c r="K172" s="156">
        <v>1</v>
      </c>
    </row>
    <row r="173" spans="1:11" s="7" customFormat="1" ht="107.4" x14ac:dyDescent="1.9">
      <c r="A173" s="94"/>
      <c r="B173" s="66"/>
      <c r="C173" s="67"/>
      <c r="D173" s="64"/>
      <c r="E173" s="154">
        <v>1</v>
      </c>
      <c r="F173" s="179"/>
      <c r="G173" s="48">
        <v>50335</v>
      </c>
      <c r="H173" s="20" t="s">
        <v>107</v>
      </c>
      <c r="I173" s="28">
        <v>70</v>
      </c>
      <c r="J173" s="161">
        <v>14</v>
      </c>
      <c r="K173" s="154">
        <v>1</v>
      </c>
    </row>
    <row r="174" spans="1:11" s="7" customFormat="1" ht="107.4" x14ac:dyDescent="1.9">
      <c r="A174" s="94"/>
      <c r="B174" s="66"/>
      <c r="C174" s="67"/>
      <c r="D174" s="64"/>
      <c r="E174" s="154">
        <v>1</v>
      </c>
      <c r="F174" s="179"/>
      <c r="G174" s="48">
        <v>50336</v>
      </c>
      <c r="H174" s="20" t="s">
        <v>108</v>
      </c>
      <c r="I174" s="28">
        <v>70</v>
      </c>
      <c r="J174" s="161">
        <v>14</v>
      </c>
      <c r="K174" s="154">
        <v>1</v>
      </c>
    </row>
    <row r="175" spans="1:11" s="7" customFormat="1" ht="107.4" x14ac:dyDescent="1.9">
      <c r="A175" s="95"/>
      <c r="B175" s="62"/>
      <c r="C175" s="67"/>
      <c r="D175" s="64"/>
      <c r="E175" s="155">
        <v>1</v>
      </c>
      <c r="F175" s="177"/>
      <c r="G175" s="117">
        <v>995</v>
      </c>
      <c r="H175" s="11" t="s">
        <v>162</v>
      </c>
      <c r="I175" s="28">
        <v>55</v>
      </c>
      <c r="J175" s="161">
        <v>11</v>
      </c>
      <c r="K175" s="155">
        <v>1</v>
      </c>
    </row>
    <row r="176" spans="1:11" s="7" customFormat="1" ht="107.4" x14ac:dyDescent="1.9">
      <c r="A176" s="85"/>
      <c r="B176" s="62"/>
      <c r="C176" s="67"/>
      <c r="D176" s="64"/>
      <c r="E176" s="157">
        <v>1</v>
      </c>
      <c r="F176" s="183"/>
      <c r="G176" s="111">
        <v>996</v>
      </c>
      <c r="H176" s="11" t="s">
        <v>163</v>
      </c>
      <c r="I176" s="28">
        <v>55</v>
      </c>
      <c r="J176" s="161">
        <v>1</v>
      </c>
      <c r="K176" s="157">
        <v>1</v>
      </c>
    </row>
    <row r="177" spans="1:11" s="7" customFormat="1" ht="107.4" x14ac:dyDescent="1.9">
      <c r="A177" s="78"/>
      <c r="B177" s="87"/>
      <c r="C177" s="88"/>
      <c r="D177" s="89"/>
      <c r="E177" s="89">
        <v>1</v>
      </c>
      <c r="F177" s="178"/>
      <c r="G177" s="17">
        <v>9100</v>
      </c>
      <c r="H177" s="14" t="s">
        <v>104</v>
      </c>
      <c r="I177" s="30">
        <v>75</v>
      </c>
      <c r="J177" s="164">
        <v>15</v>
      </c>
      <c r="K177" s="89">
        <v>1</v>
      </c>
    </row>
    <row r="178" spans="1:11" s="7" customFormat="1" ht="107.4" x14ac:dyDescent="1.9">
      <c r="A178" s="78"/>
      <c r="B178" s="62"/>
      <c r="C178" s="63"/>
      <c r="D178" s="64"/>
      <c r="E178" s="64">
        <v>1</v>
      </c>
      <c r="F178" s="173"/>
      <c r="G178" s="17">
        <v>4768</v>
      </c>
      <c r="H178" s="11" t="s">
        <v>103</v>
      </c>
      <c r="I178" s="26">
        <v>75</v>
      </c>
      <c r="J178" s="161">
        <v>15</v>
      </c>
      <c r="K178" s="64">
        <v>1</v>
      </c>
    </row>
    <row r="179" spans="1:11" s="7" customFormat="1" ht="107.4" x14ac:dyDescent="1.9">
      <c r="A179" s="78">
        <v>120160</v>
      </c>
      <c r="B179" s="397" t="s">
        <v>35</v>
      </c>
      <c r="C179" s="88">
        <v>60</v>
      </c>
      <c r="D179" s="89">
        <v>12</v>
      </c>
      <c r="E179" s="89">
        <v>8</v>
      </c>
      <c r="F179" s="178"/>
      <c r="G179" s="78">
        <v>120160</v>
      </c>
      <c r="H179" s="87" t="s">
        <v>35</v>
      </c>
      <c r="I179" s="88">
        <v>60</v>
      </c>
      <c r="J179" s="163">
        <v>12</v>
      </c>
      <c r="K179" s="89">
        <v>8</v>
      </c>
    </row>
    <row r="180" spans="1:11" s="7" customFormat="1" ht="107.4" x14ac:dyDescent="1.9">
      <c r="A180" s="78"/>
      <c r="B180" s="62"/>
      <c r="C180" s="63"/>
      <c r="D180" s="64"/>
      <c r="E180" s="64">
        <v>1</v>
      </c>
      <c r="F180" s="173"/>
      <c r="G180" s="17">
        <v>160078</v>
      </c>
      <c r="H180" s="11" t="s">
        <v>36</v>
      </c>
      <c r="I180" s="26">
        <v>60</v>
      </c>
      <c r="J180" s="161">
        <v>12</v>
      </c>
      <c r="K180" s="64"/>
    </row>
    <row r="181" spans="1:11" s="7" customFormat="1" ht="107.4" x14ac:dyDescent="1.9">
      <c r="A181" s="78"/>
      <c r="B181" s="62"/>
      <c r="C181" s="63"/>
      <c r="D181" s="64"/>
      <c r="E181" s="64">
        <v>1</v>
      </c>
      <c r="F181" s="173"/>
      <c r="G181" s="17">
        <v>160539</v>
      </c>
      <c r="H181" s="11" t="s">
        <v>186</v>
      </c>
      <c r="I181" s="26">
        <v>288</v>
      </c>
      <c r="J181" s="161">
        <v>32</v>
      </c>
      <c r="K181" s="64"/>
    </row>
    <row r="182" spans="1:11" s="7" customFormat="1" ht="107.4" x14ac:dyDescent="1.9">
      <c r="A182" s="78"/>
      <c r="B182" s="62"/>
      <c r="C182" s="63"/>
      <c r="D182" s="64"/>
      <c r="E182" s="64">
        <v>1</v>
      </c>
      <c r="F182" s="173"/>
      <c r="G182" s="17">
        <v>160540</v>
      </c>
      <c r="H182" s="11" t="s">
        <v>187</v>
      </c>
      <c r="I182" s="26">
        <v>224</v>
      </c>
      <c r="J182" s="161">
        <v>28</v>
      </c>
      <c r="K182" s="64"/>
    </row>
    <row r="183" spans="1:11" s="7" customFormat="1" ht="108" customHeight="1" x14ac:dyDescent="1.9">
      <c r="A183" s="78">
        <v>120118</v>
      </c>
      <c r="B183" s="62" t="s">
        <v>188</v>
      </c>
      <c r="C183" s="63">
        <v>65</v>
      </c>
      <c r="D183" s="64">
        <v>13</v>
      </c>
      <c r="E183" s="64">
        <v>12</v>
      </c>
      <c r="F183" s="173"/>
      <c r="G183" s="78">
        <v>120118</v>
      </c>
      <c r="H183" s="62" t="s">
        <v>188</v>
      </c>
      <c r="I183" s="63">
        <v>65</v>
      </c>
      <c r="J183" s="157">
        <v>13</v>
      </c>
      <c r="K183" s="64">
        <v>12</v>
      </c>
    </row>
    <row r="184" spans="1:11" s="7" customFormat="1" ht="108" customHeight="1" x14ac:dyDescent="1.9">
      <c r="A184" s="78">
        <v>120119</v>
      </c>
      <c r="B184" s="62" t="s">
        <v>189</v>
      </c>
      <c r="C184" s="63">
        <v>60</v>
      </c>
      <c r="D184" s="64">
        <v>12</v>
      </c>
      <c r="E184" s="64">
        <v>8</v>
      </c>
      <c r="F184" s="173"/>
      <c r="G184" s="78">
        <v>120119</v>
      </c>
      <c r="H184" s="62" t="s">
        <v>189</v>
      </c>
      <c r="I184" s="63">
        <v>60</v>
      </c>
      <c r="J184" s="157">
        <v>12</v>
      </c>
      <c r="K184" s="64">
        <v>8</v>
      </c>
    </row>
    <row r="185" spans="1:11" s="7" customFormat="1" ht="72.75" customHeight="1" x14ac:dyDescent="1.9">
      <c r="A185" s="71"/>
      <c r="B185" s="71"/>
      <c r="C185" s="71"/>
      <c r="D185" s="71"/>
      <c r="E185" s="71"/>
      <c r="F185" s="181"/>
      <c r="G185" s="115"/>
      <c r="H185" s="115" t="s">
        <v>12</v>
      </c>
      <c r="I185" s="115"/>
      <c r="J185" s="115"/>
      <c r="K185" s="71"/>
    </row>
    <row r="186" spans="1:11" s="7" customFormat="1" ht="107.4" x14ac:dyDescent="1.9">
      <c r="A186" s="78"/>
      <c r="B186" s="62"/>
      <c r="C186" s="63"/>
      <c r="D186" s="64"/>
      <c r="E186" s="64">
        <v>1</v>
      </c>
      <c r="F186" s="173"/>
      <c r="G186" s="17">
        <v>160147</v>
      </c>
      <c r="H186" s="11" t="s">
        <v>37</v>
      </c>
      <c r="I186" s="26">
        <v>168</v>
      </c>
      <c r="J186" s="161">
        <v>21</v>
      </c>
      <c r="K186" s="64">
        <v>1</v>
      </c>
    </row>
    <row r="187" spans="1:11" s="7" customFormat="1" ht="107.4" x14ac:dyDescent="1.9">
      <c r="A187" s="78"/>
      <c r="B187" s="62"/>
      <c r="C187" s="63"/>
      <c r="D187" s="64"/>
      <c r="E187" s="64">
        <v>1</v>
      </c>
      <c r="F187" s="173"/>
      <c r="G187" s="17">
        <v>160148</v>
      </c>
      <c r="H187" s="11" t="s">
        <v>38</v>
      </c>
      <c r="I187" s="26">
        <v>168</v>
      </c>
      <c r="J187" s="161">
        <v>21</v>
      </c>
      <c r="K187" s="64">
        <v>1</v>
      </c>
    </row>
    <row r="188" spans="1:11" s="7" customFormat="1" ht="107.4" x14ac:dyDescent="1.9">
      <c r="A188" s="78"/>
      <c r="B188" s="62"/>
      <c r="C188" s="63"/>
      <c r="D188" s="64"/>
      <c r="E188" s="64">
        <v>1</v>
      </c>
      <c r="F188" s="173"/>
      <c r="G188" s="17">
        <v>120064</v>
      </c>
      <c r="H188" s="11" t="s">
        <v>376</v>
      </c>
      <c r="I188" s="26">
        <v>189</v>
      </c>
      <c r="J188" s="161">
        <v>21</v>
      </c>
      <c r="K188" s="64">
        <v>1</v>
      </c>
    </row>
    <row r="189" spans="1:11" s="7" customFormat="1" ht="107.4" x14ac:dyDescent="1.9">
      <c r="A189" s="78"/>
      <c r="B189" s="62"/>
      <c r="C189" s="63"/>
      <c r="D189" s="64"/>
      <c r="E189" s="64">
        <v>1</v>
      </c>
      <c r="F189" s="173"/>
      <c r="G189" s="17">
        <v>160159</v>
      </c>
      <c r="H189" s="11" t="s">
        <v>93</v>
      </c>
      <c r="I189" s="26">
        <v>168</v>
      </c>
      <c r="J189" s="161">
        <v>21</v>
      </c>
      <c r="K189" s="64">
        <v>1</v>
      </c>
    </row>
    <row r="190" spans="1:11" s="7" customFormat="1" ht="107.4" x14ac:dyDescent="1.9">
      <c r="A190" s="78"/>
      <c r="B190" s="62"/>
      <c r="C190" s="63"/>
      <c r="D190" s="64"/>
      <c r="E190" s="64">
        <v>1</v>
      </c>
      <c r="F190" s="173"/>
      <c r="G190" s="17">
        <v>160343</v>
      </c>
      <c r="H190" s="11" t="s">
        <v>134</v>
      </c>
      <c r="I190" s="26">
        <v>168</v>
      </c>
      <c r="J190" s="161">
        <v>21</v>
      </c>
      <c r="K190" s="64">
        <v>1</v>
      </c>
    </row>
    <row r="191" spans="1:11" s="7" customFormat="1" ht="107.4" x14ac:dyDescent="1.9">
      <c r="A191" s="78"/>
      <c r="B191" s="62"/>
      <c r="C191" s="63"/>
      <c r="D191" s="64"/>
      <c r="E191" s="64">
        <v>1</v>
      </c>
      <c r="F191" s="173"/>
      <c r="G191" s="17">
        <v>50464</v>
      </c>
      <c r="H191" s="11" t="s">
        <v>173</v>
      </c>
      <c r="I191" s="26">
        <v>168</v>
      </c>
      <c r="J191" s="161">
        <v>21</v>
      </c>
      <c r="K191" s="64">
        <v>1</v>
      </c>
    </row>
    <row r="192" spans="1:11" s="7" customFormat="1" ht="107.4" x14ac:dyDescent="1.9">
      <c r="A192" s="78"/>
      <c r="B192" s="62"/>
      <c r="C192" s="63"/>
      <c r="D192" s="64"/>
      <c r="E192" s="64">
        <v>1</v>
      </c>
      <c r="F192" s="173"/>
      <c r="G192" s="17">
        <v>160517</v>
      </c>
      <c r="H192" s="11" t="s">
        <v>191</v>
      </c>
      <c r="I192" s="26">
        <v>168</v>
      </c>
      <c r="J192" s="161">
        <v>21</v>
      </c>
      <c r="K192" s="64">
        <v>1</v>
      </c>
    </row>
    <row r="193" spans="1:11" s="7" customFormat="1" ht="108" customHeight="1" x14ac:dyDescent="1.9">
      <c r="A193" s="78">
        <v>120116</v>
      </c>
      <c r="B193" s="62" t="s">
        <v>377</v>
      </c>
      <c r="C193" s="63">
        <v>189</v>
      </c>
      <c r="D193" s="64">
        <v>21</v>
      </c>
      <c r="E193" s="64">
        <v>24</v>
      </c>
      <c r="F193" s="173"/>
      <c r="G193" s="17">
        <v>120116</v>
      </c>
      <c r="H193" s="11" t="s">
        <v>377</v>
      </c>
      <c r="I193" s="26">
        <v>189</v>
      </c>
      <c r="J193" s="161">
        <v>21</v>
      </c>
      <c r="K193" s="64">
        <v>1</v>
      </c>
    </row>
    <row r="194" spans="1:11" s="7" customFormat="1" ht="111" x14ac:dyDescent="1.7">
      <c r="A194" s="55" t="s">
        <v>0</v>
      </c>
      <c r="B194" s="55" t="s">
        <v>1</v>
      </c>
      <c r="C194" s="56" t="s">
        <v>114</v>
      </c>
      <c r="D194" s="57" t="s">
        <v>115</v>
      </c>
      <c r="E194" s="57"/>
      <c r="F194" s="170"/>
      <c r="G194" s="55" t="s">
        <v>0</v>
      </c>
      <c r="H194" s="55" t="s">
        <v>1</v>
      </c>
      <c r="I194" s="56" t="s">
        <v>114</v>
      </c>
      <c r="J194" s="158" t="s">
        <v>115</v>
      </c>
      <c r="K194" s="57"/>
    </row>
    <row r="195" spans="1:11" s="7" customFormat="1" ht="107.4" x14ac:dyDescent="1.9">
      <c r="A195" s="78"/>
      <c r="B195" s="62"/>
      <c r="C195" s="63"/>
      <c r="D195" s="64"/>
      <c r="E195" s="64">
        <v>1</v>
      </c>
      <c r="F195" s="173"/>
      <c r="G195" s="17">
        <v>160574</v>
      </c>
      <c r="H195" s="11" t="s">
        <v>196</v>
      </c>
      <c r="I195" s="26">
        <v>288</v>
      </c>
      <c r="J195" s="161">
        <v>32</v>
      </c>
      <c r="K195" s="64">
        <v>1</v>
      </c>
    </row>
    <row r="196" spans="1:11" s="7" customFormat="1" ht="107.4" x14ac:dyDescent="1.9">
      <c r="A196" s="78"/>
      <c r="B196" s="62"/>
      <c r="C196" s="63"/>
      <c r="D196" s="64"/>
      <c r="E196" s="64">
        <v>1</v>
      </c>
      <c r="F196" s="173"/>
      <c r="G196" s="17">
        <v>160575</v>
      </c>
      <c r="H196" s="11" t="s">
        <v>197</v>
      </c>
      <c r="I196" s="26">
        <v>288</v>
      </c>
      <c r="J196" s="161">
        <v>32</v>
      </c>
      <c r="K196" s="64">
        <v>1</v>
      </c>
    </row>
    <row r="197" spans="1:11" s="7" customFormat="1" ht="107.4" x14ac:dyDescent="1.9">
      <c r="A197" s="78"/>
      <c r="B197" s="62"/>
      <c r="C197" s="63"/>
      <c r="D197" s="64"/>
      <c r="E197" s="64">
        <v>1</v>
      </c>
      <c r="F197" s="173"/>
      <c r="G197" s="17">
        <v>160579</v>
      </c>
      <c r="H197" s="11" t="s">
        <v>198</v>
      </c>
      <c r="I197" s="26">
        <v>168</v>
      </c>
      <c r="J197" s="161">
        <v>21</v>
      </c>
      <c r="K197" s="64">
        <v>1</v>
      </c>
    </row>
    <row r="198" spans="1:11" s="7" customFormat="1" ht="107.4" x14ac:dyDescent="1.9">
      <c r="A198" s="78"/>
      <c r="B198" s="62"/>
      <c r="C198" s="63"/>
      <c r="D198" s="64"/>
      <c r="E198" s="64">
        <v>1</v>
      </c>
      <c r="F198" s="173"/>
      <c r="G198" s="17">
        <v>160580</v>
      </c>
      <c r="H198" s="11" t="s">
        <v>199</v>
      </c>
      <c r="I198" s="26">
        <v>168</v>
      </c>
      <c r="J198" s="161">
        <v>21</v>
      </c>
      <c r="K198" s="64">
        <v>1</v>
      </c>
    </row>
    <row r="199" spans="1:11" s="7" customFormat="1" ht="107.4" x14ac:dyDescent="1.9">
      <c r="A199" s="78"/>
      <c r="B199" s="62"/>
      <c r="C199" s="63"/>
      <c r="D199" s="64"/>
      <c r="E199" s="64">
        <v>1</v>
      </c>
      <c r="F199" s="173"/>
      <c r="G199" s="17">
        <v>160581</v>
      </c>
      <c r="H199" s="11" t="s">
        <v>200</v>
      </c>
      <c r="I199" s="26">
        <v>168</v>
      </c>
      <c r="J199" s="161">
        <v>21</v>
      </c>
      <c r="K199" s="64">
        <v>1</v>
      </c>
    </row>
    <row r="200" spans="1:11" s="7" customFormat="1" ht="106.8" x14ac:dyDescent="1.9">
      <c r="A200" s="71"/>
      <c r="B200" s="71"/>
      <c r="C200" s="71"/>
      <c r="D200" s="71"/>
      <c r="E200" s="71"/>
      <c r="F200" s="181"/>
      <c r="G200" s="115"/>
      <c r="H200" s="115"/>
      <c r="I200" s="115"/>
      <c r="J200" s="115"/>
      <c r="K200" s="71"/>
    </row>
    <row r="201" spans="1:11" s="7" customFormat="1" ht="108" customHeight="1" x14ac:dyDescent="1.9">
      <c r="A201" s="78">
        <v>120134</v>
      </c>
      <c r="B201" s="62" t="s">
        <v>378</v>
      </c>
      <c r="C201" s="63">
        <v>189</v>
      </c>
      <c r="D201" s="64">
        <v>21</v>
      </c>
      <c r="E201" s="64">
        <v>24</v>
      </c>
      <c r="F201" s="173"/>
      <c r="G201" s="78">
        <v>120134</v>
      </c>
      <c r="H201" s="62" t="s">
        <v>378</v>
      </c>
      <c r="I201" s="63">
        <v>189</v>
      </c>
      <c r="J201" s="157">
        <v>21</v>
      </c>
      <c r="K201" s="64">
        <v>24</v>
      </c>
    </row>
    <row r="202" spans="1:11" s="7" customFormat="1" ht="108" customHeight="1" x14ac:dyDescent="1.9">
      <c r="A202" s="78">
        <v>120137</v>
      </c>
      <c r="B202" s="62" t="s">
        <v>208</v>
      </c>
      <c r="C202" s="63">
        <v>189</v>
      </c>
      <c r="D202" s="64">
        <v>21</v>
      </c>
      <c r="E202" s="64">
        <v>24</v>
      </c>
      <c r="F202" s="173"/>
      <c r="G202" s="78">
        <v>120137</v>
      </c>
      <c r="H202" s="62" t="s">
        <v>208</v>
      </c>
      <c r="I202" s="63">
        <v>189</v>
      </c>
      <c r="J202" s="157">
        <v>21</v>
      </c>
      <c r="K202" s="64">
        <v>24</v>
      </c>
    </row>
    <row r="203" spans="1:11" s="7" customFormat="1" ht="108" customHeight="1" x14ac:dyDescent="1.9">
      <c r="A203" s="78">
        <v>120136</v>
      </c>
      <c r="B203" s="62" t="s">
        <v>209</v>
      </c>
      <c r="C203" s="63">
        <v>189</v>
      </c>
      <c r="D203" s="64">
        <v>21</v>
      </c>
      <c r="E203" s="64">
        <v>24</v>
      </c>
      <c r="F203" s="173"/>
      <c r="G203" s="78">
        <v>120136</v>
      </c>
      <c r="H203" s="62" t="s">
        <v>209</v>
      </c>
      <c r="I203" s="63">
        <v>189</v>
      </c>
      <c r="J203" s="157">
        <v>21</v>
      </c>
      <c r="K203" s="64">
        <v>24</v>
      </c>
    </row>
    <row r="204" spans="1:11" s="7" customFormat="1" ht="108" customHeight="1" x14ac:dyDescent="1.9">
      <c r="A204" s="78">
        <v>120133</v>
      </c>
      <c r="B204" s="62" t="s">
        <v>379</v>
      </c>
      <c r="C204" s="63">
        <v>189</v>
      </c>
      <c r="D204" s="64">
        <v>21</v>
      </c>
      <c r="E204" s="64">
        <v>24</v>
      </c>
      <c r="F204" s="173"/>
      <c r="G204" s="78">
        <v>120133</v>
      </c>
      <c r="H204" s="62" t="s">
        <v>379</v>
      </c>
      <c r="I204" s="63">
        <v>189</v>
      </c>
      <c r="J204" s="157">
        <v>21</v>
      </c>
      <c r="K204" s="64">
        <v>24</v>
      </c>
    </row>
    <row r="205" spans="1:11" s="7" customFormat="1" ht="107.4" x14ac:dyDescent="1.9">
      <c r="A205" s="78">
        <v>120135</v>
      </c>
      <c r="B205" s="62" t="s">
        <v>369</v>
      </c>
      <c r="C205" s="63">
        <v>189</v>
      </c>
      <c r="D205" s="64">
        <v>21</v>
      </c>
      <c r="E205" s="64">
        <v>24</v>
      </c>
      <c r="F205" s="173"/>
      <c r="G205" s="78">
        <v>120135</v>
      </c>
      <c r="H205" s="62" t="s">
        <v>369</v>
      </c>
      <c r="I205" s="63">
        <v>189</v>
      </c>
      <c r="J205" s="157">
        <v>21</v>
      </c>
      <c r="K205" s="64">
        <v>24</v>
      </c>
    </row>
    <row r="206" spans="1:11" s="7" customFormat="1" ht="107.4" x14ac:dyDescent="1.9">
      <c r="A206" s="78"/>
      <c r="B206" s="62"/>
      <c r="C206" s="63"/>
      <c r="D206" s="64"/>
      <c r="E206" s="64">
        <v>1</v>
      </c>
      <c r="F206" s="173"/>
      <c r="G206" s="17">
        <v>160620</v>
      </c>
      <c r="H206" s="11" t="s">
        <v>201</v>
      </c>
      <c r="I206" s="26">
        <v>189</v>
      </c>
      <c r="J206" s="161">
        <v>21</v>
      </c>
      <c r="K206" s="64">
        <v>1</v>
      </c>
    </row>
    <row r="207" spans="1:11" s="7" customFormat="1" ht="108" customHeight="1" x14ac:dyDescent="1.9">
      <c r="A207" s="60"/>
      <c r="B207" s="12"/>
      <c r="C207" s="27"/>
      <c r="D207" s="34"/>
      <c r="E207" s="34"/>
      <c r="F207" s="172"/>
      <c r="G207" s="60"/>
      <c r="H207" s="12"/>
      <c r="I207" s="27"/>
      <c r="J207" s="103"/>
      <c r="K207" s="34"/>
    </row>
    <row r="208" spans="1:11" s="7" customFormat="1" ht="108" customHeight="1" x14ac:dyDescent="1.9">
      <c r="A208" s="78">
        <v>120188</v>
      </c>
      <c r="B208" s="62" t="s">
        <v>449</v>
      </c>
      <c r="C208" s="63">
        <v>1</v>
      </c>
      <c r="D208" s="64">
        <v>28</v>
      </c>
      <c r="E208" s="64">
        <v>6</v>
      </c>
      <c r="F208" s="173"/>
      <c r="G208" s="78">
        <v>120188</v>
      </c>
      <c r="H208" s="62" t="s">
        <v>449</v>
      </c>
      <c r="I208" s="63">
        <v>1</v>
      </c>
      <c r="J208" s="64">
        <v>28</v>
      </c>
      <c r="K208" s="64">
        <v>6</v>
      </c>
    </row>
    <row r="209" spans="1:12" s="7" customFormat="1" ht="108" customHeight="1" x14ac:dyDescent="1.9">
      <c r="A209" s="78">
        <v>120190</v>
      </c>
      <c r="B209" s="62" t="s">
        <v>450</v>
      </c>
      <c r="C209" s="63">
        <v>1</v>
      </c>
      <c r="D209" s="64">
        <v>28</v>
      </c>
      <c r="E209" s="64">
        <v>6</v>
      </c>
      <c r="F209" s="173"/>
      <c r="G209" s="78">
        <v>120190</v>
      </c>
      <c r="H209" s="62" t="s">
        <v>450</v>
      </c>
      <c r="I209" s="63">
        <v>1</v>
      </c>
      <c r="J209" s="64">
        <v>28</v>
      </c>
      <c r="K209" s="64">
        <v>6</v>
      </c>
    </row>
    <row r="210" spans="1:12" s="7" customFormat="1" ht="108" customHeight="1" x14ac:dyDescent="1.9">
      <c r="A210" s="78">
        <v>120191</v>
      </c>
      <c r="B210" s="62" t="s">
        <v>451</v>
      </c>
      <c r="C210" s="63">
        <v>1</v>
      </c>
      <c r="D210" s="64">
        <v>28</v>
      </c>
      <c r="E210" s="64">
        <v>6</v>
      </c>
      <c r="F210" s="173"/>
      <c r="G210" s="78">
        <v>120191</v>
      </c>
      <c r="H210" s="62" t="s">
        <v>451</v>
      </c>
      <c r="I210" s="63">
        <v>1</v>
      </c>
      <c r="J210" s="64">
        <v>28</v>
      </c>
      <c r="K210" s="64">
        <v>6</v>
      </c>
    </row>
    <row r="211" spans="1:12" s="7" customFormat="1" ht="108" customHeight="1" x14ac:dyDescent="1.9">
      <c r="A211" s="78"/>
      <c r="B211" s="62"/>
      <c r="C211" s="63"/>
      <c r="D211" s="64"/>
      <c r="E211" s="64">
        <v>6</v>
      </c>
      <c r="F211" s="173"/>
      <c r="G211" s="78">
        <v>120139</v>
      </c>
      <c r="H211" s="62" t="s">
        <v>314</v>
      </c>
      <c r="I211" s="63">
        <v>170</v>
      </c>
      <c r="J211" s="157">
        <v>34</v>
      </c>
      <c r="K211" s="64">
        <v>6</v>
      </c>
    </row>
    <row r="212" spans="1:12" s="7" customFormat="1" ht="108" customHeight="1" x14ac:dyDescent="1.9">
      <c r="A212" s="78"/>
      <c r="B212" s="62"/>
      <c r="C212" s="63"/>
      <c r="D212" s="64"/>
      <c r="E212" s="64">
        <v>6</v>
      </c>
      <c r="F212" s="173"/>
      <c r="G212" s="78">
        <v>120138</v>
      </c>
      <c r="H212" s="62" t="s">
        <v>315</v>
      </c>
      <c r="I212" s="63">
        <v>170</v>
      </c>
      <c r="J212" s="157">
        <v>34</v>
      </c>
      <c r="K212" s="64">
        <v>6</v>
      </c>
    </row>
    <row r="213" spans="1:12" s="7" customFormat="1" ht="108" customHeight="1" x14ac:dyDescent="1.9">
      <c r="A213" s="78"/>
      <c r="B213" s="62"/>
      <c r="C213" s="63"/>
      <c r="D213" s="64"/>
      <c r="E213" s="64">
        <v>6</v>
      </c>
      <c r="F213" s="173"/>
      <c r="G213" s="78">
        <v>120141</v>
      </c>
      <c r="H213" s="62" t="s">
        <v>316</v>
      </c>
      <c r="I213" s="63">
        <v>170</v>
      </c>
      <c r="J213" s="157">
        <v>34</v>
      </c>
      <c r="K213" s="64">
        <v>6</v>
      </c>
    </row>
    <row r="214" spans="1:12" s="7" customFormat="1" ht="108" customHeight="1" x14ac:dyDescent="1.9">
      <c r="A214" s="78"/>
      <c r="B214" s="62"/>
      <c r="C214" s="63"/>
      <c r="D214" s="64"/>
      <c r="E214" s="64">
        <v>6</v>
      </c>
      <c r="F214" s="173"/>
      <c r="G214" s="78">
        <v>120142</v>
      </c>
      <c r="H214" s="62" t="s">
        <v>317</v>
      </c>
      <c r="I214" s="63">
        <v>170</v>
      </c>
      <c r="J214" s="157">
        <v>34</v>
      </c>
      <c r="K214" s="64">
        <v>6</v>
      </c>
    </row>
    <row r="215" spans="1:12" s="7" customFormat="1" ht="108" customHeight="1" x14ac:dyDescent="1.9">
      <c r="A215" s="78"/>
      <c r="B215" s="62"/>
      <c r="C215" s="63"/>
      <c r="D215" s="64"/>
      <c r="E215" s="64">
        <v>6</v>
      </c>
      <c r="F215" s="173"/>
      <c r="G215" s="78">
        <v>120140</v>
      </c>
      <c r="H215" s="62" t="s">
        <v>363</v>
      </c>
      <c r="I215" s="63">
        <v>170</v>
      </c>
      <c r="J215" s="157">
        <v>34</v>
      </c>
      <c r="K215" s="64">
        <v>6</v>
      </c>
    </row>
    <row r="216" spans="1:12" s="7" customFormat="1" ht="108" customHeight="1" x14ac:dyDescent="1.9">
      <c r="A216" s="47"/>
      <c r="B216" s="12"/>
      <c r="C216" s="27"/>
      <c r="D216" s="34"/>
      <c r="E216" s="34"/>
      <c r="F216" s="172"/>
      <c r="G216" s="60"/>
      <c r="H216" s="12" t="s">
        <v>12</v>
      </c>
      <c r="I216" s="27"/>
      <c r="J216" s="103"/>
      <c r="K216" s="34"/>
    </row>
    <row r="217" spans="1:12" s="7" customFormat="1" ht="108" customHeight="1" x14ac:dyDescent="1.9">
      <c r="A217" s="78"/>
      <c r="B217" s="62"/>
      <c r="C217" s="63"/>
      <c r="D217" s="64"/>
      <c r="E217" s="64">
        <v>12</v>
      </c>
      <c r="F217" s="173"/>
      <c r="G217" s="17">
        <v>120187</v>
      </c>
      <c r="H217" s="11" t="s">
        <v>452</v>
      </c>
      <c r="I217" s="26">
        <v>288</v>
      </c>
      <c r="J217" s="161">
        <v>32</v>
      </c>
      <c r="K217" s="64">
        <v>12</v>
      </c>
    </row>
    <row r="218" spans="1:12" s="7" customFormat="1" ht="107.4" x14ac:dyDescent="1.9">
      <c r="A218" s="78">
        <v>135766</v>
      </c>
      <c r="B218" s="62" t="s">
        <v>39</v>
      </c>
      <c r="C218" s="63">
        <v>208</v>
      </c>
      <c r="D218" s="64">
        <v>26</v>
      </c>
      <c r="E218" s="64">
        <v>12</v>
      </c>
      <c r="F218" s="173"/>
      <c r="G218" s="78">
        <v>135766</v>
      </c>
      <c r="H218" s="62" t="s">
        <v>39</v>
      </c>
      <c r="I218" s="63">
        <v>208</v>
      </c>
      <c r="J218" s="157">
        <v>26</v>
      </c>
      <c r="K218" s="64">
        <v>12</v>
      </c>
    </row>
    <row r="219" spans="1:12" s="7" customFormat="1" ht="107.4" x14ac:dyDescent="1.9">
      <c r="A219" s="78"/>
      <c r="B219" s="62"/>
      <c r="C219" s="63"/>
      <c r="D219" s="64"/>
      <c r="E219" s="64">
        <v>1</v>
      </c>
      <c r="F219" s="173"/>
      <c r="G219" s="17">
        <v>160183</v>
      </c>
      <c r="H219" s="11" t="s">
        <v>169</v>
      </c>
      <c r="I219" s="26">
        <v>208</v>
      </c>
      <c r="J219" s="161">
        <v>26</v>
      </c>
      <c r="K219" s="64">
        <v>1</v>
      </c>
    </row>
    <row r="220" spans="1:12" s="7" customFormat="1" ht="108" customHeight="1" x14ac:dyDescent="1.9">
      <c r="A220" s="78">
        <v>56498</v>
      </c>
      <c r="B220" s="62" t="s">
        <v>284</v>
      </c>
      <c r="C220" s="63">
        <v>176</v>
      </c>
      <c r="D220" s="64">
        <v>22</v>
      </c>
      <c r="E220" s="64">
        <v>12</v>
      </c>
      <c r="F220" s="173"/>
      <c r="G220" s="78">
        <v>56498</v>
      </c>
      <c r="H220" s="62" t="s">
        <v>284</v>
      </c>
      <c r="I220" s="63">
        <v>176</v>
      </c>
      <c r="J220" s="157">
        <v>22</v>
      </c>
      <c r="K220" s="64">
        <v>12</v>
      </c>
    </row>
    <row r="221" spans="1:12" s="7" customFormat="1" ht="108" customHeight="1" x14ac:dyDescent="1.9">
      <c r="A221" s="78">
        <v>56490</v>
      </c>
      <c r="B221" s="62" t="s">
        <v>295</v>
      </c>
      <c r="C221" s="63">
        <v>176</v>
      </c>
      <c r="D221" s="64">
        <v>22</v>
      </c>
      <c r="E221" s="64">
        <v>12</v>
      </c>
      <c r="F221" s="173"/>
      <c r="G221" s="78">
        <v>56490</v>
      </c>
      <c r="H221" s="62" t="s">
        <v>295</v>
      </c>
      <c r="I221" s="63">
        <v>176</v>
      </c>
      <c r="J221" s="157">
        <v>22</v>
      </c>
      <c r="K221" s="64">
        <v>12</v>
      </c>
    </row>
    <row r="222" spans="1:12" s="7" customFormat="1" ht="108" customHeight="1" x14ac:dyDescent="1.9">
      <c r="A222" s="78"/>
      <c r="B222" s="62"/>
      <c r="C222" s="63"/>
      <c r="D222" s="64"/>
      <c r="E222" s="64">
        <v>1</v>
      </c>
      <c r="F222" s="173"/>
      <c r="G222" s="17">
        <v>56497</v>
      </c>
      <c r="H222" s="11" t="s">
        <v>285</v>
      </c>
      <c r="I222" s="26">
        <v>176</v>
      </c>
      <c r="J222" s="161">
        <v>22</v>
      </c>
      <c r="K222" s="64">
        <v>1</v>
      </c>
    </row>
    <row r="223" spans="1:12" s="7" customFormat="1" ht="108" customHeight="1" x14ac:dyDescent="1.9">
      <c r="A223" s="78">
        <v>160192</v>
      </c>
      <c r="B223" s="62" t="s">
        <v>40</v>
      </c>
      <c r="C223" s="63">
        <v>208</v>
      </c>
      <c r="D223" s="64">
        <v>26</v>
      </c>
      <c r="E223" s="64">
        <v>12</v>
      </c>
      <c r="F223" s="173"/>
      <c r="G223" s="78">
        <v>160192</v>
      </c>
      <c r="H223" s="62" t="s">
        <v>40</v>
      </c>
      <c r="I223" s="63">
        <v>208</v>
      </c>
      <c r="J223" s="157">
        <v>26</v>
      </c>
      <c r="K223" s="64">
        <v>12</v>
      </c>
    </row>
    <row r="224" spans="1:12" s="7" customFormat="1" ht="108" customHeight="1" x14ac:dyDescent="1.9">
      <c r="A224" s="47"/>
      <c r="B224" s="12"/>
      <c r="C224" s="27"/>
      <c r="D224" s="34"/>
      <c r="E224" s="34"/>
      <c r="F224" s="172"/>
      <c r="G224" s="60"/>
      <c r="H224" s="12"/>
      <c r="I224" s="27"/>
      <c r="J224" s="103"/>
      <c r="K224" s="34"/>
      <c r="L224" s="107"/>
    </row>
    <row r="225" spans="1:11" s="7" customFormat="1" ht="108" customHeight="1" x14ac:dyDescent="1.9">
      <c r="A225" s="78">
        <v>160121</v>
      </c>
      <c r="B225" s="62" t="s">
        <v>41</v>
      </c>
      <c r="C225" s="63">
        <v>350</v>
      </c>
      <c r="D225" s="64">
        <v>50</v>
      </c>
      <c r="E225" s="64">
        <v>6</v>
      </c>
      <c r="F225" s="173"/>
      <c r="G225" s="78">
        <v>160121</v>
      </c>
      <c r="H225" s="62" t="s">
        <v>41</v>
      </c>
      <c r="I225" s="63">
        <v>315</v>
      </c>
      <c r="J225" s="157">
        <v>45</v>
      </c>
      <c r="K225" s="64">
        <v>6</v>
      </c>
    </row>
    <row r="226" spans="1:11" s="7" customFormat="1" ht="108" customHeight="1" x14ac:dyDescent="1.9">
      <c r="A226" s="78">
        <v>160122</v>
      </c>
      <c r="B226" s="62" t="s">
        <v>42</v>
      </c>
      <c r="C226" s="63">
        <v>350</v>
      </c>
      <c r="D226" s="64">
        <v>50</v>
      </c>
      <c r="E226" s="64">
        <v>6</v>
      </c>
      <c r="F226" s="173"/>
      <c r="G226" s="78">
        <v>160122</v>
      </c>
      <c r="H226" s="62" t="s">
        <v>42</v>
      </c>
      <c r="I226" s="63">
        <v>315</v>
      </c>
      <c r="J226" s="157">
        <v>45</v>
      </c>
      <c r="K226" s="64">
        <v>6</v>
      </c>
    </row>
    <row r="227" spans="1:11" s="7" customFormat="1" ht="107.4" x14ac:dyDescent="1.9">
      <c r="A227" s="78"/>
      <c r="B227" s="62"/>
      <c r="C227" s="63"/>
      <c r="D227" s="64"/>
      <c r="E227" s="64">
        <v>1</v>
      </c>
      <c r="F227" s="173"/>
      <c r="G227" s="17">
        <v>8957</v>
      </c>
      <c r="H227" s="11" t="s">
        <v>43</v>
      </c>
      <c r="I227" s="26">
        <v>315</v>
      </c>
      <c r="J227" s="161">
        <v>45</v>
      </c>
      <c r="K227" s="64">
        <v>1</v>
      </c>
    </row>
    <row r="228" spans="1:11" s="7" customFormat="1" ht="108" customHeight="1" x14ac:dyDescent="1.9">
      <c r="A228" s="47"/>
      <c r="B228" s="12"/>
      <c r="C228" s="27"/>
      <c r="D228" s="34"/>
      <c r="E228" s="34"/>
      <c r="F228" s="172"/>
      <c r="G228" s="60"/>
      <c r="H228" s="12"/>
      <c r="I228" s="27"/>
      <c r="J228" s="103"/>
      <c r="K228" s="34"/>
    </row>
    <row r="229" spans="1:11" s="7" customFormat="1" ht="108" customHeight="1" x14ac:dyDescent="1.9">
      <c r="A229" s="78">
        <v>160054</v>
      </c>
      <c r="B229" s="62" t="s">
        <v>44</v>
      </c>
      <c r="C229" s="63">
        <v>10</v>
      </c>
      <c r="D229" s="64">
        <v>10</v>
      </c>
      <c r="E229" s="64">
        <v>1</v>
      </c>
      <c r="F229" s="173"/>
      <c r="G229" s="78">
        <v>160054</v>
      </c>
      <c r="H229" s="62" t="s">
        <v>44</v>
      </c>
      <c r="I229" s="63"/>
      <c r="J229" s="157"/>
      <c r="K229" s="64">
        <v>1</v>
      </c>
    </row>
    <row r="230" spans="1:11" s="7" customFormat="1" ht="108" customHeight="1" x14ac:dyDescent="1.9">
      <c r="A230" s="78">
        <v>135762</v>
      </c>
      <c r="B230" s="62" t="s">
        <v>45</v>
      </c>
      <c r="C230" s="63">
        <v>30</v>
      </c>
      <c r="D230" s="63">
        <v>30</v>
      </c>
      <c r="E230" s="64">
        <v>1</v>
      </c>
      <c r="F230" s="173"/>
      <c r="G230" s="78">
        <v>135762</v>
      </c>
      <c r="H230" s="62" t="s">
        <v>45</v>
      </c>
      <c r="I230" s="63"/>
      <c r="J230" s="157"/>
      <c r="K230" s="64">
        <v>1</v>
      </c>
    </row>
    <row r="231" spans="1:11" s="7" customFormat="1" ht="108" customHeight="1" x14ac:dyDescent="1.9">
      <c r="A231" s="78">
        <v>160063</v>
      </c>
      <c r="B231" s="62" t="s">
        <v>46</v>
      </c>
      <c r="C231" s="63">
        <v>30</v>
      </c>
      <c r="D231" s="63">
        <v>30</v>
      </c>
      <c r="E231" s="64">
        <v>1</v>
      </c>
      <c r="F231" s="173"/>
      <c r="G231" s="78">
        <v>160063</v>
      </c>
      <c r="H231" s="62" t="s">
        <v>46</v>
      </c>
      <c r="I231" s="63"/>
      <c r="J231" s="157"/>
      <c r="K231" s="64">
        <v>1</v>
      </c>
    </row>
    <row r="232" spans="1:11" s="7" customFormat="1" ht="108" customHeight="1" x14ac:dyDescent="1.9">
      <c r="A232" s="78">
        <v>160014</v>
      </c>
      <c r="B232" s="62" t="s">
        <v>47</v>
      </c>
      <c r="C232" s="63">
        <v>30</v>
      </c>
      <c r="D232" s="63">
        <v>30</v>
      </c>
      <c r="E232" s="64">
        <v>1</v>
      </c>
      <c r="F232" s="173"/>
      <c r="G232" s="78">
        <v>160014</v>
      </c>
      <c r="H232" s="62" t="s">
        <v>47</v>
      </c>
      <c r="I232" s="63"/>
      <c r="J232" s="157"/>
      <c r="K232" s="64">
        <v>1</v>
      </c>
    </row>
    <row r="233" spans="1:11" s="7" customFormat="1" ht="108" customHeight="1" x14ac:dyDescent="1.9">
      <c r="A233" s="78"/>
      <c r="B233" s="62"/>
      <c r="C233" s="63"/>
      <c r="D233" s="63"/>
      <c r="E233" s="64">
        <v>1</v>
      </c>
      <c r="F233" s="173"/>
      <c r="G233" s="78">
        <v>160145</v>
      </c>
      <c r="H233" s="62" t="s">
        <v>48</v>
      </c>
      <c r="I233" s="63"/>
      <c r="J233" s="157"/>
      <c r="K233" s="64">
        <v>1</v>
      </c>
    </row>
    <row r="234" spans="1:11" s="7" customFormat="1" ht="108" customHeight="1" x14ac:dyDescent="1.9">
      <c r="A234" s="78">
        <v>136204</v>
      </c>
      <c r="B234" s="62" t="s">
        <v>49</v>
      </c>
      <c r="C234" s="63">
        <v>8</v>
      </c>
      <c r="D234" s="64">
        <v>1</v>
      </c>
      <c r="E234" s="64">
        <v>1</v>
      </c>
      <c r="F234" s="173"/>
      <c r="G234" s="78">
        <v>601961</v>
      </c>
      <c r="H234" s="62" t="s">
        <v>49</v>
      </c>
      <c r="I234" s="63"/>
      <c r="J234" s="157"/>
      <c r="K234" s="64">
        <v>1</v>
      </c>
    </row>
    <row r="235" spans="1:11" s="7" customFormat="1" ht="108" customHeight="1" x14ac:dyDescent="1.9">
      <c r="A235" s="47"/>
      <c r="B235" s="12"/>
      <c r="C235" s="27"/>
      <c r="D235" s="34"/>
      <c r="E235" s="34"/>
      <c r="F235" s="172"/>
      <c r="G235" s="60"/>
      <c r="H235" s="12" t="s">
        <v>12</v>
      </c>
      <c r="I235" s="27"/>
      <c r="J235" s="103"/>
      <c r="K235" s="34"/>
    </row>
    <row r="236" spans="1:11" s="7" customFormat="1" ht="108" customHeight="1" x14ac:dyDescent="1.9">
      <c r="A236" s="78">
        <v>92764</v>
      </c>
      <c r="B236" s="62" t="s">
        <v>301</v>
      </c>
      <c r="C236" s="63">
        <v>96</v>
      </c>
      <c r="D236" s="64">
        <v>16</v>
      </c>
      <c r="E236" s="64">
        <v>12</v>
      </c>
      <c r="F236" s="173"/>
      <c r="G236" s="78">
        <v>92764</v>
      </c>
      <c r="H236" s="62" t="s">
        <v>301</v>
      </c>
      <c r="I236" s="63"/>
      <c r="J236" s="157"/>
      <c r="K236" s="64">
        <v>12</v>
      </c>
    </row>
    <row r="237" spans="1:11" s="7" customFormat="1" ht="108" customHeight="1" x14ac:dyDescent="1.9">
      <c r="A237" s="78"/>
      <c r="B237" s="62"/>
      <c r="C237" s="63"/>
      <c r="D237" s="64"/>
      <c r="E237" s="64">
        <v>12</v>
      </c>
      <c r="F237" s="173"/>
      <c r="G237" s="17">
        <v>160133</v>
      </c>
      <c r="H237" s="11" t="s">
        <v>425</v>
      </c>
      <c r="I237" s="26">
        <v>26</v>
      </c>
      <c r="J237" s="161">
        <v>26</v>
      </c>
      <c r="K237" s="35">
        <v>12</v>
      </c>
    </row>
    <row r="238" spans="1:11" s="7" customFormat="1" ht="108" customHeight="1" x14ac:dyDescent="1.9">
      <c r="A238" s="90">
        <v>160240</v>
      </c>
      <c r="B238" s="66" t="s">
        <v>80</v>
      </c>
      <c r="C238" s="67">
        <v>132</v>
      </c>
      <c r="D238" s="64">
        <v>22</v>
      </c>
      <c r="E238" s="64">
        <v>12</v>
      </c>
      <c r="F238" s="173"/>
      <c r="G238" s="90">
        <v>160240</v>
      </c>
      <c r="H238" s="66" t="s">
        <v>80</v>
      </c>
      <c r="I238" s="67">
        <v>132</v>
      </c>
      <c r="J238" s="157">
        <v>22</v>
      </c>
      <c r="K238" s="64">
        <v>12</v>
      </c>
    </row>
    <row r="239" spans="1:11" s="7" customFormat="1" ht="108" customHeight="1" x14ac:dyDescent="1.9">
      <c r="A239" s="90">
        <v>160241</v>
      </c>
      <c r="B239" s="66" t="s">
        <v>100</v>
      </c>
      <c r="C239" s="67">
        <v>132</v>
      </c>
      <c r="D239" s="64">
        <v>22</v>
      </c>
      <c r="E239" s="64">
        <v>12</v>
      </c>
      <c r="F239" s="173"/>
      <c r="G239" s="90">
        <v>160241</v>
      </c>
      <c r="H239" s="66" t="s">
        <v>100</v>
      </c>
      <c r="I239" s="67">
        <v>132</v>
      </c>
      <c r="J239" s="157">
        <v>22</v>
      </c>
      <c r="K239" s="64">
        <v>12</v>
      </c>
    </row>
    <row r="240" spans="1:11" s="7" customFormat="1" ht="108" customHeight="1" x14ac:dyDescent="1.9">
      <c r="A240" s="96">
        <v>160060</v>
      </c>
      <c r="B240" s="97" t="s">
        <v>81</v>
      </c>
      <c r="C240" s="98">
        <v>80</v>
      </c>
      <c r="D240" s="84">
        <v>16</v>
      </c>
      <c r="E240" s="84">
        <v>9</v>
      </c>
      <c r="F240" s="176"/>
      <c r="G240" s="96">
        <v>160060</v>
      </c>
      <c r="H240" s="97" t="s">
        <v>81</v>
      </c>
      <c r="I240" s="98">
        <v>80</v>
      </c>
      <c r="J240" s="156">
        <v>16</v>
      </c>
      <c r="K240" s="84">
        <v>9</v>
      </c>
    </row>
    <row r="241" spans="1:11" s="7" customFormat="1" ht="108" customHeight="1" x14ac:dyDescent="1.9">
      <c r="A241" s="52"/>
      <c r="B241" s="53"/>
      <c r="C241" s="54"/>
      <c r="D241" s="51"/>
      <c r="E241" s="51"/>
      <c r="F241" s="177"/>
      <c r="G241" s="52"/>
      <c r="H241" s="53"/>
      <c r="I241" s="54"/>
      <c r="J241" s="112"/>
      <c r="K241" s="51"/>
    </row>
    <row r="242" spans="1:11" s="7" customFormat="1" ht="108" customHeight="1" x14ac:dyDescent="1.9">
      <c r="A242" s="86">
        <v>160168</v>
      </c>
      <c r="B242" s="87" t="s">
        <v>96</v>
      </c>
      <c r="C242" s="88">
        <v>160</v>
      </c>
      <c r="D242" s="89">
        <v>16</v>
      </c>
      <c r="E242" s="89">
        <v>24</v>
      </c>
      <c r="F242" s="178"/>
      <c r="G242" s="86">
        <v>160168</v>
      </c>
      <c r="H242" s="87" t="s">
        <v>96</v>
      </c>
      <c r="I242" s="88">
        <v>160</v>
      </c>
      <c r="J242" s="163">
        <v>16</v>
      </c>
      <c r="K242" s="89">
        <v>24</v>
      </c>
    </row>
    <row r="243" spans="1:11" s="7" customFormat="1" ht="108" customHeight="1" x14ac:dyDescent="1.9">
      <c r="A243" s="78"/>
      <c r="B243" s="62"/>
      <c r="C243" s="63"/>
      <c r="D243" s="64"/>
      <c r="E243" s="64">
        <v>24</v>
      </c>
      <c r="F243" s="173"/>
      <c r="G243" s="78">
        <v>160169</v>
      </c>
      <c r="H243" s="62" t="s">
        <v>50</v>
      </c>
      <c r="I243" s="63">
        <v>160</v>
      </c>
      <c r="J243" s="157">
        <v>16</v>
      </c>
      <c r="K243" s="64">
        <v>24</v>
      </c>
    </row>
    <row r="244" spans="1:11" s="7" customFormat="1" ht="108" customHeight="1" x14ac:dyDescent="1.9">
      <c r="A244" s="78">
        <v>160170</v>
      </c>
      <c r="B244" s="62" t="s">
        <v>97</v>
      </c>
      <c r="C244" s="63">
        <v>160</v>
      </c>
      <c r="D244" s="64">
        <v>16</v>
      </c>
      <c r="E244" s="64">
        <v>24</v>
      </c>
      <c r="F244" s="173"/>
      <c r="G244" s="78">
        <v>160170</v>
      </c>
      <c r="H244" s="62" t="s">
        <v>97</v>
      </c>
      <c r="I244" s="63">
        <v>160</v>
      </c>
      <c r="J244" s="157">
        <v>16</v>
      </c>
      <c r="K244" s="64">
        <v>24</v>
      </c>
    </row>
    <row r="245" spans="1:11" s="7" customFormat="1" ht="108" customHeight="1" x14ac:dyDescent="1.9">
      <c r="A245" s="78">
        <v>92768</v>
      </c>
      <c r="B245" s="62" t="s">
        <v>312</v>
      </c>
      <c r="C245" s="63">
        <v>160</v>
      </c>
      <c r="D245" s="64">
        <v>16</v>
      </c>
      <c r="E245" s="64">
        <v>24</v>
      </c>
      <c r="F245" s="173"/>
      <c r="G245" s="78">
        <v>92768</v>
      </c>
      <c r="H245" s="62" t="s">
        <v>312</v>
      </c>
      <c r="I245" s="63">
        <v>160</v>
      </c>
      <c r="J245" s="157">
        <v>16</v>
      </c>
      <c r="K245" s="64">
        <v>24</v>
      </c>
    </row>
    <row r="246" spans="1:11" s="7" customFormat="1" ht="108" customHeight="1" x14ac:dyDescent="1.9">
      <c r="A246" s="78">
        <v>92793</v>
      </c>
      <c r="B246" s="62" t="s">
        <v>370</v>
      </c>
      <c r="C246" s="63">
        <v>160</v>
      </c>
      <c r="D246" s="64">
        <v>16</v>
      </c>
      <c r="E246" s="64">
        <v>24</v>
      </c>
      <c r="F246" s="173"/>
      <c r="G246" s="78">
        <v>92793</v>
      </c>
      <c r="H246" s="62" t="s">
        <v>370</v>
      </c>
      <c r="I246" s="63">
        <v>160</v>
      </c>
      <c r="J246" s="157">
        <v>16</v>
      </c>
      <c r="K246" s="64">
        <v>24</v>
      </c>
    </row>
    <row r="247" spans="1:11" s="7" customFormat="1" ht="108" customHeight="1" x14ac:dyDescent="1.9">
      <c r="A247" s="47"/>
      <c r="B247" s="12"/>
      <c r="C247" s="27"/>
      <c r="D247" s="34"/>
      <c r="E247" s="34"/>
      <c r="F247" s="172"/>
      <c r="G247" s="60"/>
      <c r="H247" s="12" t="s">
        <v>12</v>
      </c>
      <c r="I247" s="27"/>
      <c r="J247" s="103"/>
      <c r="K247" s="34"/>
    </row>
    <row r="248" spans="1:11" s="7" customFormat="1" ht="108" customHeight="1" x14ac:dyDescent="1.9">
      <c r="A248" s="78"/>
      <c r="B248" s="62"/>
      <c r="C248" s="63"/>
      <c r="D248" s="64"/>
      <c r="E248" s="64">
        <v>1</v>
      </c>
      <c r="F248" s="173"/>
      <c r="G248" s="17">
        <v>160255</v>
      </c>
      <c r="H248" s="11" t="s">
        <v>105</v>
      </c>
      <c r="I248" s="26">
        <v>45</v>
      </c>
      <c r="J248" s="161">
        <v>9</v>
      </c>
      <c r="K248" s="64">
        <v>1</v>
      </c>
    </row>
    <row r="249" spans="1:11" s="7" customFormat="1" ht="108" customHeight="1" x14ac:dyDescent="1.9">
      <c r="A249" s="78"/>
      <c r="B249" s="62"/>
      <c r="C249" s="63"/>
      <c r="D249" s="64"/>
      <c r="E249" s="64">
        <v>1</v>
      </c>
      <c r="F249" s="173"/>
      <c r="G249" s="17">
        <v>160254</v>
      </c>
      <c r="H249" s="11" t="s">
        <v>106</v>
      </c>
      <c r="I249" s="26">
        <v>45</v>
      </c>
      <c r="J249" s="161">
        <v>9</v>
      </c>
      <c r="K249" s="64">
        <v>1</v>
      </c>
    </row>
    <row r="250" spans="1:11" s="7" customFormat="1" ht="108" customHeight="1" x14ac:dyDescent="1.7">
      <c r="A250" s="55" t="s">
        <v>0</v>
      </c>
      <c r="B250" s="55" t="s">
        <v>1</v>
      </c>
      <c r="C250" s="56" t="s">
        <v>114</v>
      </c>
      <c r="D250" s="57" t="s">
        <v>115</v>
      </c>
      <c r="E250" s="57"/>
      <c r="F250" s="170"/>
      <c r="G250" s="55" t="s">
        <v>0</v>
      </c>
      <c r="H250" s="55" t="s">
        <v>1</v>
      </c>
      <c r="I250" s="56" t="s">
        <v>114</v>
      </c>
      <c r="J250" s="158" t="s">
        <v>115</v>
      </c>
      <c r="K250" s="57"/>
    </row>
    <row r="251" spans="1:11" s="7" customFormat="1" ht="108" customHeight="1" x14ac:dyDescent="1.9">
      <c r="A251" s="83">
        <v>160151</v>
      </c>
      <c r="B251" s="68" t="s">
        <v>51</v>
      </c>
      <c r="C251" s="65">
        <v>63</v>
      </c>
      <c r="D251" s="84">
        <v>21</v>
      </c>
      <c r="E251" s="84">
        <v>2</v>
      </c>
      <c r="F251" s="176"/>
      <c r="G251" s="83">
        <v>160151</v>
      </c>
      <c r="H251" s="68" t="s">
        <v>51</v>
      </c>
      <c r="I251" s="65">
        <v>63</v>
      </c>
      <c r="J251" s="156">
        <v>21</v>
      </c>
      <c r="K251" s="84">
        <v>2</v>
      </c>
    </row>
    <row r="252" spans="1:11" s="7" customFormat="1" ht="108" customHeight="1" x14ac:dyDescent="1.9">
      <c r="A252" s="78"/>
      <c r="B252" s="62"/>
      <c r="C252" s="63"/>
      <c r="D252" s="64"/>
      <c r="E252" s="64">
        <v>1</v>
      </c>
      <c r="F252" s="173"/>
      <c r="G252" s="17">
        <v>160416</v>
      </c>
      <c r="H252" s="11" t="s">
        <v>147</v>
      </c>
      <c r="I252" s="26">
        <v>70</v>
      </c>
      <c r="J252" s="161">
        <v>10</v>
      </c>
      <c r="K252" s="64">
        <v>1</v>
      </c>
    </row>
    <row r="253" spans="1:11" s="7" customFormat="1" ht="107.4" x14ac:dyDescent="1.9">
      <c r="A253" s="78">
        <v>160047</v>
      </c>
      <c r="B253" s="62" t="s">
        <v>52</v>
      </c>
      <c r="C253" s="63">
        <v>84</v>
      </c>
      <c r="D253" s="64">
        <v>12</v>
      </c>
      <c r="E253" s="64">
        <v>24</v>
      </c>
      <c r="F253" s="173"/>
      <c r="G253" s="78">
        <v>160047</v>
      </c>
      <c r="H253" s="62" t="s">
        <v>52</v>
      </c>
      <c r="I253" s="63">
        <v>84</v>
      </c>
      <c r="J253" s="157">
        <v>12</v>
      </c>
      <c r="K253" s="64">
        <v>24</v>
      </c>
    </row>
    <row r="254" spans="1:11" s="7" customFormat="1" ht="107.4" x14ac:dyDescent="1.9">
      <c r="A254" s="78"/>
      <c r="B254" s="62"/>
      <c r="C254" s="63"/>
      <c r="D254" s="64"/>
      <c r="E254" s="64">
        <v>1</v>
      </c>
      <c r="F254" s="173"/>
      <c r="G254" s="17">
        <v>160283</v>
      </c>
      <c r="H254" s="11" t="s">
        <v>116</v>
      </c>
      <c r="I254" s="26">
        <v>84</v>
      </c>
      <c r="J254" s="161">
        <v>12</v>
      </c>
      <c r="K254" s="64">
        <v>1</v>
      </c>
    </row>
    <row r="255" spans="1:11" s="7" customFormat="1" ht="107.4" x14ac:dyDescent="1.9">
      <c r="A255" s="10"/>
      <c r="B255" s="11"/>
      <c r="C255" s="26"/>
      <c r="D255" s="35"/>
      <c r="E255" s="35">
        <v>1</v>
      </c>
      <c r="F255" s="173"/>
      <c r="G255" s="17">
        <v>160487</v>
      </c>
      <c r="H255" s="11" t="s">
        <v>184</v>
      </c>
      <c r="I255" s="26">
        <v>84</v>
      </c>
      <c r="J255" s="161">
        <v>12</v>
      </c>
      <c r="K255" s="35"/>
    </row>
    <row r="256" spans="1:11" s="7" customFormat="1" ht="108" customHeight="1" x14ac:dyDescent="1.9">
      <c r="A256" s="78">
        <v>160046</v>
      </c>
      <c r="B256" s="62" t="s">
        <v>53</v>
      </c>
      <c r="C256" s="63">
        <v>84</v>
      </c>
      <c r="D256" s="64">
        <v>12</v>
      </c>
      <c r="E256" s="64">
        <v>24</v>
      </c>
      <c r="F256" s="173"/>
      <c r="G256" s="78">
        <v>160046</v>
      </c>
      <c r="H256" s="62" t="s">
        <v>53</v>
      </c>
      <c r="I256" s="63">
        <v>84</v>
      </c>
      <c r="J256" s="157">
        <v>12</v>
      </c>
      <c r="K256" s="64">
        <v>24</v>
      </c>
    </row>
    <row r="257" spans="1:11" s="7" customFormat="1" ht="108" customHeight="1" x14ac:dyDescent="1.9">
      <c r="A257" s="78">
        <v>92740</v>
      </c>
      <c r="B257" s="62" t="s">
        <v>245</v>
      </c>
      <c r="C257" s="63">
        <v>65</v>
      </c>
      <c r="D257" s="64">
        <v>13</v>
      </c>
      <c r="E257" s="64">
        <v>12</v>
      </c>
      <c r="F257" s="173"/>
      <c r="G257" s="78">
        <v>92740</v>
      </c>
      <c r="H257" s="62" t="s">
        <v>245</v>
      </c>
      <c r="I257" s="63">
        <v>65</v>
      </c>
      <c r="J257" s="157">
        <v>13</v>
      </c>
      <c r="K257" s="64">
        <v>12</v>
      </c>
    </row>
    <row r="258" spans="1:11" s="7" customFormat="1" ht="108" customHeight="1" x14ac:dyDescent="1.9">
      <c r="A258" s="78">
        <v>92770</v>
      </c>
      <c r="B258" s="62" t="s">
        <v>303</v>
      </c>
      <c r="C258" s="63">
        <v>65</v>
      </c>
      <c r="D258" s="64">
        <v>13</v>
      </c>
      <c r="E258" s="64">
        <v>12</v>
      </c>
      <c r="F258" s="173"/>
      <c r="G258" s="78">
        <v>92770</v>
      </c>
      <c r="H258" s="62" t="s">
        <v>303</v>
      </c>
      <c r="I258" s="63">
        <v>65</v>
      </c>
      <c r="J258" s="157">
        <v>13</v>
      </c>
      <c r="K258" s="64">
        <v>12</v>
      </c>
    </row>
    <row r="259" spans="1:11" s="7" customFormat="1" ht="108" customHeight="1" x14ac:dyDescent="1.9">
      <c r="A259" s="78">
        <v>92795</v>
      </c>
      <c r="B259" s="62" t="s">
        <v>371</v>
      </c>
      <c r="C259" s="63">
        <v>65</v>
      </c>
      <c r="D259" s="64">
        <v>13</v>
      </c>
      <c r="E259" s="64">
        <v>12</v>
      </c>
      <c r="F259" s="173"/>
      <c r="G259" s="78">
        <v>92795</v>
      </c>
      <c r="H259" s="62" t="s">
        <v>371</v>
      </c>
      <c r="I259" s="63">
        <v>65</v>
      </c>
      <c r="J259" s="157">
        <v>13</v>
      </c>
      <c r="K259" s="64">
        <v>12</v>
      </c>
    </row>
    <row r="260" spans="1:11" s="7" customFormat="1" ht="108" customHeight="1" x14ac:dyDescent="1.9">
      <c r="A260" s="17"/>
      <c r="B260" s="11"/>
      <c r="C260" s="26"/>
      <c r="D260" s="102"/>
      <c r="E260" s="102"/>
      <c r="F260" s="173"/>
      <c r="G260" s="17"/>
      <c r="H260" s="11"/>
      <c r="I260" s="26"/>
      <c r="J260" s="161"/>
      <c r="K260" s="102"/>
    </row>
    <row r="261" spans="1:11" s="7" customFormat="1" ht="108" customHeight="1" x14ac:dyDescent="1.9">
      <c r="A261" s="78">
        <v>92794</v>
      </c>
      <c r="B261" s="62" t="s">
        <v>372</v>
      </c>
      <c r="C261" s="63">
        <v>336</v>
      </c>
      <c r="D261" s="64">
        <v>48</v>
      </c>
      <c r="E261" s="64">
        <v>6</v>
      </c>
      <c r="F261" s="173"/>
      <c r="G261" s="78">
        <v>92794</v>
      </c>
      <c r="H261" s="62" t="s">
        <v>372</v>
      </c>
      <c r="I261" s="63">
        <v>336</v>
      </c>
      <c r="J261" s="157">
        <v>48</v>
      </c>
      <c r="K261" s="64">
        <v>6</v>
      </c>
    </row>
    <row r="262" spans="1:11" s="7" customFormat="1" ht="108" customHeight="1" x14ac:dyDescent="1.9">
      <c r="A262" s="78">
        <v>92736</v>
      </c>
      <c r="B262" s="62" t="s">
        <v>248</v>
      </c>
      <c r="C262" s="63">
        <v>336</v>
      </c>
      <c r="D262" s="64">
        <v>48</v>
      </c>
      <c r="E262" s="64">
        <v>6</v>
      </c>
      <c r="F262" s="173"/>
      <c r="G262" s="78">
        <v>92736</v>
      </c>
      <c r="H262" s="62" t="s">
        <v>248</v>
      </c>
      <c r="I262" s="63">
        <v>336</v>
      </c>
      <c r="J262" s="157">
        <v>48</v>
      </c>
      <c r="K262" s="64">
        <v>6</v>
      </c>
    </row>
    <row r="263" spans="1:11" s="7" customFormat="1" ht="108" customHeight="1" x14ac:dyDescent="1.9">
      <c r="A263" s="78">
        <v>92769</v>
      </c>
      <c r="B263" s="62" t="s">
        <v>302</v>
      </c>
      <c r="C263" s="63">
        <v>336</v>
      </c>
      <c r="D263" s="64">
        <v>48</v>
      </c>
      <c r="E263" s="64">
        <v>6</v>
      </c>
      <c r="F263" s="173"/>
      <c r="G263" s="78">
        <v>92769</v>
      </c>
      <c r="H263" s="62" t="s">
        <v>302</v>
      </c>
      <c r="I263" s="63">
        <v>336</v>
      </c>
      <c r="J263" s="157">
        <v>48</v>
      </c>
      <c r="K263" s="64">
        <v>6</v>
      </c>
    </row>
    <row r="264" spans="1:11" s="7" customFormat="1" ht="108" customHeight="1" x14ac:dyDescent="1.9">
      <c r="A264" s="17"/>
      <c r="B264" s="11"/>
      <c r="C264" s="26"/>
      <c r="D264" s="102"/>
      <c r="E264" s="102"/>
      <c r="F264" s="173"/>
      <c r="G264" s="17"/>
      <c r="H264" s="11"/>
      <c r="I264" s="26"/>
      <c r="J264" s="161"/>
      <c r="K264" s="102"/>
    </row>
    <row r="265" spans="1:11" s="7" customFormat="1" ht="108" customHeight="1" x14ac:dyDescent="1.9">
      <c r="A265" s="78">
        <v>160008</v>
      </c>
      <c r="B265" s="62" t="s">
        <v>217</v>
      </c>
      <c r="C265" s="63">
        <v>168</v>
      </c>
      <c r="D265" s="64">
        <v>28</v>
      </c>
      <c r="E265" s="64">
        <v>6</v>
      </c>
      <c r="F265" s="173"/>
      <c r="G265" s="78">
        <v>160008</v>
      </c>
      <c r="H265" s="62" t="s">
        <v>217</v>
      </c>
      <c r="I265" s="63">
        <v>168</v>
      </c>
      <c r="J265" s="157">
        <v>28</v>
      </c>
      <c r="K265" s="64">
        <v>6</v>
      </c>
    </row>
    <row r="266" spans="1:11" s="7" customFormat="1" ht="108" customHeight="1" x14ac:dyDescent="1.9">
      <c r="A266" s="78">
        <v>92757</v>
      </c>
      <c r="B266" s="62" t="s">
        <v>261</v>
      </c>
      <c r="C266" s="63">
        <v>60</v>
      </c>
      <c r="D266" s="64">
        <v>15</v>
      </c>
      <c r="E266" s="64">
        <v>6</v>
      </c>
      <c r="F266" s="173"/>
      <c r="G266" s="78">
        <v>92757</v>
      </c>
      <c r="H266" s="62" t="s">
        <v>261</v>
      </c>
      <c r="I266" s="63">
        <v>60</v>
      </c>
      <c r="J266" s="157">
        <v>15</v>
      </c>
      <c r="K266" s="64">
        <v>6</v>
      </c>
    </row>
    <row r="267" spans="1:11" s="7" customFormat="1" ht="108" customHeight="1" x14ac:dyDescent="1.9">
      <c r="A267" s="78"/>
      <c r="B267" s="62"/>
      <c r="C267" s="63"/>
      <c r="D267" s="64"/>
      <c r="E267" s="64">
        <v>2</v>
      </c>
      <c r="F267" s="173"/>
      <c r="G267" s="78">
        <v>92760</v>
      </c>
      <c r="H267" s="62" t="s">
        <v>275</v>
      </c>
      <c r="I267" s="63">
        <v>180</v>
      </c>
      <c r="J267" s="157">
        <v>45</v>
      </c>
      <c r="K267" s="64">
        <v>2</v>
      </c>
    </row>
    <row r="268" spans="1:11" s="7" customFormat="1" ht="108" customHeight="1" x14ac:dyDescent="1.9">
      <c r="A268" s="78">
        <v>160048</v>
      </c>
      <c r="B268" s="62" t="s">
        <v>324</v>
      </c>
      <c r="C268" s="63">
        <v>16</v>
      </c>
      <c r="D268" s="64">
        <v>16</v>
      </c>
      <c r="E268" s="64">
        <v>1</v>
      </c>
      <c r="F268" s="173"/>
      <c r="G268" s="78">
        <v>160048</v>
      </c>
      <c r="H268" s="62" t="s">
        <v>324</v>
      </c>
      <c r="I268" s="63"/>
      <c r="J268" s="157">
        <v>16</v>
      </c>
      <c r="K268" s="64">
        <v>1</v>
      </c>
    </row>
    <row r="269" spans="1:11" ht="66.75" customHeight="1" x14ac:dyDescent="1.7">
      <c r="F269" s="184"/>
      <c r="G269" s="6"/>
      <c r="H269" s="6"/>
      <c r="I269" s="40"/>
      <c r="J269" s="38"/>
      <c r="K269" s="38"/>
    </row>
    <row r="270" spans="1:11" s="7" customFormat="1" ht="108" customHeight="1" x14ac:dyDescent="1.9">
      <c r="A270" s="61"/>
      <c r="B270" s="62"/>
      <c r="C270" s="63"/>
      <c r="D270" s="64"/>
      <c r="E270" s="64">
        <v>1</v>
      </c>
      <c r="F270" s="173"/>
      <c r="G270" s="61">
        <v>132796</v>
      </c>
      <c r="H270" s="62" t="s">
        <v>392</v>
      </c>
      <c r="I270" s="63"/>
      <c r="J270" s="157"/>
      <c r="K270" s="64">
        <v>1</v>
      </c>
    </row>
    <row r="271" spans="1:11" s="7" customFormat="1" ht="108" customHeight="1" x14ac:dyDescent="1.9">
      <c r="A271" s="61"/>
      <c r="B271" s="62"/>
      <c r="C271" s="63"/>
      <c r="D271" s="64"/>
      <c r="E271" s="64">
        <v>1</v>
      </c>
      <c r="F271" s="173"/>
      <c r="G271" s="61">
        <v>135800</v>
      </c>
      <c r="H271" s="62" t="s">
        <v>329</v>
      </c>
      <c r="I271" s="63"/>
      <c r="J271" s="157"/>
      <c r="K271" s="64">
        <v>1</v>
      </c>
    </row>
    <row r="272" spans="1:11" s="7" customFormat="1" ht="108" customHeight="1" x14ac:dyDescent="1.9">
      <c r="A272" s="61"/>
      <c r="B272" s="62"/>
      <c r="C272" s="63"/>
      <c r="D272" s="64"/>
      <c r="E272" s="64">
        <v>2</v>
      </c>
      <c r="F272" s="173"/>
      <c r="G272" s="61">
        <v>135799</v>
      </c>
      <c r="H272" s="62" t="s">
        <v>327</v>
      </c>
      <c r="I272" s="63"/>
      <c r="J272" s="157">
        <v>60</v>
      </c>
      <c r="K272" s="64">
        <v>1</v>
      </c>
    </row>
    <row r="273" spans="1:11" s="7" customFormat="1" ht="108" customHeight="1" x14ac:dyDescent="1.9">
      <c r="A273" s="61" t="s">
        <v>396</v>
      </c>
      <c r="B273" s="62"/>
      <c r="C273" s="63"/>
      <c r="D273" s="64"/>
      <c r="E273" s="64">
        <v>1</v>
      </c>
      <c r="F273" s="173"/>
      <c r="G273" s="59">
        <v>135739</v>
      </c>
      <c r="H273" s="11" t="s">
        <v>289</v>
      </c>
      <c r="I273" s="26"/>
      <c r="J273" s="165">
        <v>32</v>
      </c>
      <c r="K273" s="64">
        <v>1</v>
      </c>
    </row>
    <row r="274" spans="1:11" s="7" customFormat="1" ht="108" customHeight="1" x14ac:dyDescent="1.9">
      <c r="A274" s="61">
        <v>135676</v>
      </c>
      <c r="B274" s="62" t="s">
        <v>268</v>
      </c>
      <c r="C274" s="63">
        <v>180</v>
      </c>
      <c r="D274" s="64">
        <v>45</v>
      </c>
      <c r="E274" s="64">
        <v>2</v>
      </c>
      <c r="F274" s="173"/>
      <c r="G274" s="61">
        <v>135676</v>
      </c>
      <c r="H274" s="62" t="s">
        <v>268</v>
      </c>
      <c r="I274" s="63">
        <v>180</v>
      </c>
      <c r="J274" s="157">
        <v>45</v>
      </c>
      <c r="K274" s="64">
        <v>1</v>
      </c>
    </row>
    <row r="275" spans="1:11" s="7" customFormat="1" ht="108" customHeight="1" x14ac:dyDescent="1.9">
      <c r="A275" s="61"/>
      <c r="B275" s="62"/>
      <c r="C275" s="63"/>
      <c r="D275" s="64"/>
      <c r="E275" s="64">
        <v>2</v>
      </c>
      <c r="F275" s="173"/>
      <c r="G275" s="61">
        <v>56653</v>
      </c>
      <c r="H275" s="62" t="s">
        <v>368</v>
      </c>
      <c r="I275" s="63"/>
      <c r="J275" s="157">
        <v>65</v>
      </c>
      <c r="K275" s="64">
        <v>1</v>
      </c>
    </row>
    <row r="276" spans="1:11" s="7" customFormat="1" ht="108" customHeight="1" x14ac:dyDescent="1.9">
      <c r="A276" s="61"/>
      <c r="B276" s="62"/>
      <c r="C276" s="63"/>
      <c r="D276" s="64"/>
      <c r="E276" s="64">
        <v>2</v>
      </c>
      <c r="F276" s="173"/>
      <c r="G276" s="61">
        <v>92766</v>
      </c>
      <c r="H276" s="62" t="s">
        <v>290</v>
      </c>
      <c r="I276" s="63"/>
      <c r="J276" s="157">
        <v>65</v>
      </c>
      <c r="K276" s="64">
        <v>1</v>
      </c>
    </row>
    <row r="277" spans="1:11" s="7" customFormat="1" ht="108" customHeight="1" x14ac:dyDescent="1.9">
      <c r="A277" s="61">
        <v>92787</v>
      </c>
      <c r="B277" s="62" t="s">
        <v>364</v>
      </c>
      <c r="C277" s="63">
        <v>260</v>
      </c>
      <c r="D277" s="64">
        <v>65</v>
      </c>
      <c r="E277" s="64">
        <v>2</v>
      </c>
      <c r="F277" s="173"/>
      <c r="G277" s="61">
        <v>92787</v>
      </c>
      <c r="H277" s="62" t="s">
        <v>364</v>
      </c>
      <c r="I277" s="63"/>
      <c r="J277" s="157">
        <v>65</v>
      </c>
      <c r="K277" s="64">
        <v>1</v>
      </c>
    </row>
    <row r="278" spans="1:11" s="7" customFormat="1" ht="108" customHeight="1" x14ac:dyDescent="1.9">
      <c r="A278" s="61"/>
      <c r="B278" s="62"/>
      <c r="C278" s="63"/>
      <c r="D278" s="64"/>
      <c r="E278" s="64">
        <v>1</v>
      </c>
      <c r="F278" s="173"/>
      <c r="G278" s="59">
        <v>92772</v>
      </c>
      <c r="H278" s="11" t="s">
        <v>307</v>
      </c>
      <c r="I278" s="26"/>
      <c r="J278" s="165">
        <v>32</v>
      </c>
      <c r="K278" s="64">
        <v>1</v>
      </c>
    </row>
    <row r="279" spans="1:11" s="7" customFormat="1" ht="108" customHeight="1" x14ac:dyDescent="1.9">
      <c r="A279" s="61" t="s">
        <v>396</v>
      </c>
      <c r="B279" s="62"/>
      <c r="C279" s="63"/>
      <c r="D279" s="64"/>
      <c r="E279" s="64">
        <v>1</v>
      </c>
      <c r="F279" s="173"/>
      <c r="G279" s="59">
        <v>56524</v>
      </c>
      <c r="H279" s="11" t="s">
        <v>291</v>
      </c>
      <c r="I279" s="26">
        <v>96</v>
      </c>
      <c r="J279" s="161">
        <v>32</v>
      </c>
      <c r="K279" s="64">
        <v>1</v>
      </c>
    </row>
    <row r="280" spans="1:11" s="7" customFormat="1" ht="108" customHeight="1" x14ac:dyDescent="1.9">
      <c r="A280" s="61">
        <v>135772</v>
      </c>
      <c r="B280" s="62" t="s">
        <v>287</v>
      </c>
      <c r="C280" s="63">
        <v>260</v>
      </c>
      <c r="D280" s="64">
        <v>65</v>
      </c>
      <c r="E280" s="64">
        <v>2</v>
      </c>
      <c r="F280" s="173"/>
      <c r="G280" s="61">
        <v>135772</v>
      </c>
      <c r="H280" s="62" t="s">
        <v>287</v>
      </c>
      <c r="I280" s="63"/>
      <c r="J280" s="157">
        <v>65</v>
      </c>
      <c r="K280" s="64">
        <v>1</v>
      </c>
    </row>
    <row r="281" spans="1:11" s="7" customFormat="1" ht="108" customHeight="1" x14ac:dyDescent="1.9">
      <c r="A281" s="61">
        <v>135685</v>
      </c>
      <c r="B281" s="62" t="s">
        <v>288</v>
      </c>
      <c r="C281" s="63">
        <v>260</v>
      </c>
      <c r="D281" s="64">
        <v>65</v>
      </c>
      <c r="E281" s="64">
        <v>2</v>
      </c>
      <c r="F281" s="173"/>
      <c r="G281" s="61">
        <v>135685</v>
      </c>
      <c r="H281" s="62" t="s">
        <v>288</v>
      </c>
      <c r="I281" s="63"/>
      <c r="J281" s="157">
        <v>65</v>
      </c>
      <c r="K281" s="64">
        <v>1</v>
      </c>
    </row>
    <row r="282" spans="1:11" s="7" customFormat="1" ht="108" customHeight="1" x14ac:dyDescent="1.9">
      <c r="A282" s="61" t="s">
        <v>396</v>
      </c>
      <c r="B282" s="62"/>
      <c r="C282" s="63"/>
      <c r="D282" s="64"/>
      <c r="E282" s="64">
        <v>1</v>
      </c>
      <c r="F282" s="173"/>
      <c r="G282" s="61">
        <v>135789</v>
      </c>
      <c r="H282" s="62" t="s">
        <v>318</v>
      </c>
      <c r="I282" s="63"/>
      <c r="J282" s="157"/>
      <c r="K282" s="64">
        <v>1</v>
      </c>
    </row>
    <row r="283" spans="1:11" s="7" customFormat="1" ht="108" customHeight="1" x14ac:dyDescent="1.9">
      <c r="A283" s="61"/>
      <c r="B283" s="62"/>
      <c r="C283" s="63"/>
      <c r="D283" s="64"/>
      <c r="E283" s="64">
        <v>1</v>
      </c>
      <c r="F283" s="173"/>
      <c r="G283" s="24">
        <v>135797</v>
      </c>
      <c r="H283" s="11" t="s">
        <v>319</v>
      </c>
      <c r="I283" s="26"/>
      <c r="J283" s="165"/>
      <c r="K283" s="64">
        <v>1</v>
      </c>
    </row>
    <row r="284" spans="1:11" s="7" customFormat="1" ht="108" customHeight="1" x14ac:dyDescent="1.9">
      <c r="A284" s="61"/>
      <c r="B284" s="62"/>
      <c r="C284" s="63"/>
      <c r="D284" s="64"/>
      <c r="E284" s="64">
        <v>1</v>
      </c>
      <c r="F284" s="173"/>
      <c r="G284" s="59">
        <v>56530</v>
      </c>
      <c r="H284" s="11" t="s">
        <v>320</v>
      </c>
      <c r="I284" s="26"/>
      <c r="J284" s="161"/>
      <c r="K284" s="64">
        <v>1</v>
      </c>
    </row>
    <row r="285" spans="1:11" s="7" customFormat="1" ht="108" customHeight="1" x14ac:dyDescent="1.9">
      <c r="A285" s="61" t="s">
        <v>396</v>
      </c>
      <c r="B285" s="62"/>
      <c r="C285" s="63"/>
      <c r="D285" s="64"/>
      <c r="E285" s="64">
        <v>1</v>
      </c>
      <c r="F285" s="173"/>
      <c r="G285" s="59">
        <v>56588</v>
      </c>
      <c r="H285" s="11" t="s">
        <v>321</v>
      </c>
      <c r="I285" s="26"/>
      <c r="J285" s="161"/>
      <c r="K285" s="64">
        <v>1</v>
      </c>
    </row>
    <row r="286" spans="1:11" s="7" customFormat="1" ht="108" customHeight="1" x14ac:dyDescent="1.9">
      <c r="A286" s="61">
        <v>120120</v>
      </c>
      <c r="B286" s="62" t="s">
        <v>238</v>
      </c>
      <c r="C286" s="63">
        <v>135</v>
      </c>
      <c r="D286" s="64">
        <v>45</v>
      </c>
      <c r="E286" s="64">
        <v>2</v>
      </c>
      <c r="F286" s="173"/>
      <c r="G286" s="61">
        <v>120120</v>
      </c>
      <c r="H286" s="62" t="s">
        <v>238</v>
      </c>
      <c r="I286" s="63">
        <v>135</v>
      </c>
      <c r="J286" s="157">
        <v>45</v>
      </c>
      <c r="K286" s="64">
        <v>1</v>
      </c>
    </row>
    <row r="287" spans="1:11" s="7" customFormat="1" ht="108" customHeight="1" x14ac:dyDescent="1.9">
      <c r="A287" s="61"/>
      <c r="B287" s="62"/>
      <c r="C287" s="63"/>
      <c r="D287" s="64"/>
      <c r="E287" s="64">
        <v>6</v>
      </c>
      <c r="F287" s="173"/>
      <c r="G287" s="61">
        <v>120073</v>
      </c>
      <c r="H287" s="62" t="s">
        <v>276</v>
      </c>
      <c r="I287" s="63">
        <v>168</v>
      </c>
      <c r="J287" s="157">
        <v>21</v>
      </c>
      <c r="K287" s="64">
        <v>6</v>
      </c>
    </row>
    <row r="288" spans="1:11" s="7" customFormat="1" ht="108" customHeight="1" x14ac:dyDescent="1.9">
      <c r="A288" s="61"/>
      <c r="B288" s="62"/>
      <c r="C288" s="63"/>
      <c r="D288" s="64"/>
      <c r="E288" s="64">
        <v>12</v>
      </c>
      <c r="F288" s="173"/>
      <c r="G288" s="61">
        <v>120109</v>
      </c>
      <c r="H288" s="62" t="s">
        <v>393</v>
      </c>
      <c r="I288" s="63"/>
      <c r="J288" s="157"/>
      <c r="K288" s="64">
        <v>12</v>
      </c>
    </row>
    <row r="289" spans="1:11" s="7" customFormat="1" ht="108" customHeight="1" x14ac:dyDescent="1.9">
      <c r="A289" s="61"/>
      <c r="B289" s="62"/>
      <c r="C289" s="63"/>
      <c r="D289" s="64"/>
      <c r="E289" s="64">
        <v>1</v>
      </c>
      <c r="F289" s="173"/>
      <c r="G289" s="59">
        <v>119958</v>
      </c>
      <c r="H289" s="11" t="s">
        <v>241</v>
      </c>
      <c r="I289" s="26"/>
      <c r="J289" s="165"/>
      <c r="K289" s="64">
        <v>1</v>
      </c>
    </row>
    <row r="290" spans="1:11" s="7" customFormat="1" ht="108" customHeight="1" x14ac:dyDescent="1.9">
      <c r="A290" s="61"/>
      <c r="B290" s="62"/>
      <c r="C290" s="63"/>
      <c r="D290" s="64"/>
      <c r="E290" s="64">
        <v>12</v>
      </c>
      <c r="F290" s="173"/>
      <c r="G290" s="61">
        <v>120074</v>
      </c>
      <c r="H290" s="62" t="s">
        <v>242</v>
      </c>
      <c r="I290" s="63"/>
      <c r="J290" s="157"/>
      <c r="K290" s="64">
        <v>12</v>
      </c>
    </row>
    <row r="291" spans="1:11" s="7" customFormat="1" ht="108" customHeight="1" x14ac:dyDescent="1.9">
      <c r="A291" s="61" t="s">
        <v>396</v>
      </c>
      <c r="B291" s="62"/>
      <c r="C291" s="63"/>
      <c r="D291" s="64"/>
      <c r="E291" s="64">
        <v>1</v>
      </c>
      <c r="F291" s="173"/>
      <c r="G291" s="59">
        <v>160543</v>
      </c>
      <c r="H291" s="11" t="s">
        <v>180</v>
      </c>
      <c r="I291" s="26">
        <v>504</v>
      </c>
      <c r="J291" s="165">
        <v>21</v>
      </c>
      <c r="K291" s="64">
        <v>1</v>
      </c>
    </row>
    <row r="292" spans="1:11" ht="108" customHeight="1" x14ac:dyDescent="1.9">
      <c r="A292" s="61"/>
      <c r="B292" s="62"/>
      <c r="C292" s="63"/>
      <c r="D292" s="64"/>
      <c r="E292" s="64">
        <v>1</v>
      </c>
      <c r="F292" s="173"/>
      <c r="G292" s="61">
        <v>160007</v>
      </c>
      <c r="H292" s="62" t="s">
        <v>110</v>
      </c>
      <c r="I292" s="63">
        <v>420</v>
      </c>
      <c r="J292" s="157">
        <v>84</v>
      </c>
      <c r="K292" s="64">
        <v>1</v>
      </c>
    </row>
    <row r="293" spans="1:11" ht="108" customHeight="1" x14ac:dyDescent="1.9">
      <c r="A293" s="61"/>
      <c r="B293" s="62"/>
      <c r="C293" s="63"/>
      <c r="D293" s="64"/>
      <c r="E293" s="64">
        <v>1</v>
      </c>
      <c r="F293" s="173"/>
      <c r="G293" s="24">
        <v>160264</v>
      </c>
      <c r="H293" s="11" t="s">
        <v>109</v>
      </c>
      <c r="I293" s="26">
        <v>305</v>
      </c>
      <c r="J293" s="165">
        <v>61</v>
      </c>
      <c r="K293" s="64">
        <v>1</v>
      </c>
    </row>
    <row r="294" spans="1:11" ht="108" customHeight="1" x14ac:dyDescent="1.9">
      <c r="A294" s="61"/>
      <c r="B294" s="62"/>
      <c r="C294" s="63"/>
      <c r="D294" s="64"/>
      <c r="E294" s="64">
        <v>1</v>
      </c>
      <c r="F294" s="173"/>
      <c r="G294" s="61">
        <v>135796</v>
      </c>
      <c r="H294" s="62" t="s">
        <v>357</v>
      </c>
      <c r="I294" s="63">
        <v>128</v>
      </c>
      <c r="J294" s="157">
        <v>32</v>
      </c>
      <c r="K294" s="64">
        <v>1</v>
      </c>
    </row>
    <row r="295" spans="1:11" ht="108" customHeight="1" x14ac:dyDescent="1.9">
      <c r="A295" s="61"/>
      <c r="B295" s="62"/>
      <c r="C295" s="63"/>
      <c r="D295" s="64"/>
      <c r="E295" s="64">
        <v>1</v>
      </c>
      <c r="F295" s="173"/>
      <c r="G295" s="61">
        <v>135910</v>
      </c>
      <c r="H295" s="62" t="s">
        <v>358</v>
      </c>
      <c r="I295" s="63">
        <v>180</v>
      </c>
      <c r="J295" s="157">
        <v>45</v>
      </c>
      <c r="K295" s="64">
        <v>1</v>
      </c>
    </row>
    <row r="296" spans="1:11" ht="108" customHeight="1" x14ac:dyDescent="1.9">
      <c r="A296" s="61">
        <v>136247</v>
      </c>
      <c r="B296" s="62" t="s">
        <v>267</v>
      </c>
      <c r="C296" s="63">
        <v>180</v>
      </c>
      <c r="D296" s="64">
        <v>45</v>
      </c>
      <c r="E296" s="64">
        <v>2</v>
      </c>
      <c r="F296" s="173"/>
      <c r="G296" s="61">
        <v>136247</v>
      </c>
      <c r="H296" s="62" t="s">
        <v>267</v>
      </c>
      <c r="I296" s="63">
        <v>180</v>
      </c>
      <c r="J296" s="157">
        <v>45</v>
      </c>
      <c r="K296" s="64">
        <v>1</v>
      </c>
    </row>
    <row r="297" spans="1:11" ht="108" customHeight="1" x14ac:dyDescent="1.9">
      <c r="A297" s="61">
        <v>120196</v>
      </c>
      <c r="B297" s="62" t="s">
        <v>54</v>
      </c>
      <c r="C297" s="63">
        <v>540</v>
      </c>
      <c r="D297" s="64">
        <v>90</v>
      </c>
      <c r="E297" s="64">
        <v>3</v>
      </c>
      <c r="F297" s="173"/>
      <c r="G297" s="61">
        <v>120196</v>
      </c>
      <c r="H297" s="62" t="s">
        <v>54</v>
      </c>
      <c r="I297" s="63">
        <v>540</v>
      </c>
      <c r="J297" s="157">
        <v>90</v>
      </c>
      <c r="K297" s="64">
        <v>1</v>
      </c>
    </row>
    <row r="298" spans="1:11" ht="108" customHeight="1" x14ac:dyDescent="1.9">
      <c r="A298" s="61"/>
      <c r="B298" s="62"/>
      <c r="C298" s="63"/>
      <c r="D298" s="64"/>
      <c r="E298" s="64">
        <v>1</v>
      </c>
      <c r="F298" s="173"/>
      <c r="G298" s="59">
        <v>120010</v>
      </c>
      <c r="H298" s="11" t="s">
        <v>333</v>
      </c>
      <c r="I298" s="26">
        <v>350</v>
      </c>
      <c r="J298" s="161">
        <v>50</v>
      </c>
      <c r="K298" s="64">
        <v>1</v>
      </c>
    </row>
    <row r="299" spans="1:11" ht="108" customHeight="1" x14ac:dyDescent="1.9">
      <c r="A299" s="61"/>
      <c r="B299" s="62"/>
      <c r="C299" s="63"/>
      <c r="D299" s="64"/>
      <c r="E299" s="64">
        <v>1</v>
      </c>
      <c r="F299" s="173"/>
      <c r="G299" s="59">
        <v>136318</v>
      </c>
      <c r="H299" s="11" t="s">
        <v>394</v>
      </c>
      <c r="I299" s="26"/>
      <c r="J299" s="161"/>
      <c r="K299" s="64">
        <v>1</v>
      </c>
    </row>
    <row r="300" spans="1:11" ht="108" customHeight="1" x14ac:dyDescent="1.9">
      <c r="A300" s="61">
        <v>135770</v>
      </c>
      <c r="B300" s="62" t="s">
        <v>176</v>
      </c>
      <c r="C300" s="65">
        <v>180</v>
      </c>
      <c r="D300" s="64">
        <v>45</v>
      </c>
      <c r="E300" s="64">
        <v>2</v>
      </c>
      <c r="F300" s="173"/>
      <c r="G300" s="61">
        <v>135770</v>
      </c>
      <c r="H300" s="62" t="s">
        <v>176</v>
      </c>
      <c r="I300" s="65">
        <v>180</v>
      </c>
      <c r="J300" s="157">
        <v>45</v>
      </c>
      <c r="K300" s="64">
        <v>1</v>
      </c>
    </row>
    <row r="301" spans="1:11" ht="108" customHeight="1" x14ac:dyDescent="1.9">
      <c r="A301" s="61"/>
      <c r="B301" s="62"/>
      <c r="C301" s="65"/>
      <c r="D301" s="64"/>
      <c r="E301" s="64">
        <v>1</v>
      </c>
      <c r="F301" s="173"/>
      <c r="G301" s="59">
        <v>135809</v>
      </c>
      <c r="H301" s="11" t="s">
        <v>335</v>
      </c>
      <c r="I301" s="29"/>
      <c r="J301" s="161"/>
      <c r="K301" s="64">
        <v>1</v>
      </c>
    </row>
    <row r="302" spans="1:11" ht="108" customHeight="1" x14ac:dyDescent="1.9">
      <c r="A302" s="61"/>
      <c r="B302" s="62"/>
      <c r="C302" s="65"/>
      <c r="D302" s="64"/>
      <c r="E302" s="64">
        <v>1</v>
      </c>
      <c r="F302" s="173"/>
      <c r="G302" s="59">
        <v>135810</v>
      </c>
      <c r="H302" s="11" t="s">
        <v>334</v>
      </c>
      <c r="I302" s="29"/>
      <c r="J302" s="161"/>
      <c r="K302" s="64">
        <v>1</v>
      </c>
    </row>
    <row r="303" spans="1:11" ht="108" customHeight="1" x14ac:dyDescent="1.9">
      <c r="A303" s="61"/>
      <c r="B303" s="62"/>
      <c r="C303" s="65"/>
      <c r="D303" s="64"/>
      <c r="E303" s="64">
        <v>1</v>
      </c>
      <c r="F303" s="173"/>
      <c r="G303" s="59">
        <v>135811</v>
      </c>
      <c r="H303" s="11" t="s">
        <v>330</v>
      </c>
      <c r="I303" s="29"/>
      <c r="J303" s="161"/>
      <c r="K303" s="64">
        <v>1</v>
      </c>
    </row>
    <row r="304" spans="1:11" ht="108" customHeight="1" x14ac:dyDescent="1.9">
      <c r="A304" s="61"/>
      <c r="B304" s="62"/>
      <c r="C304" s="65"/>
      <c r="D304" s="64"/>
      <c r="E304" s="64">
        <v>1</v>
      </c>
      <c r="F304" s="173"/>
      <c r="G304" s="59">
        <v>135929</v>
      </c>
      <c r="H304" s="11" t="s">
        <v>354</v>
      </c>
      <c r="I304" s="29">
        <v>128</v>
      </c>
      <c r="J304" s="161">
        <v>32</v>
      </c>
      <c r="K304" s="64">
        <v>1</v>
      </c>
    </row>
    <row r="305" spans="1:11" ht="108" customHeight="1" x14ac:dyDescent="1.9">
      <c r="A305" s="61">
        <v>135678</v>
      </c>
      <c r="B305" s="66" t="s">
        <v>266</v>
      </c>
      <c r="C305" s="67">
        <v>180</v>
      </c>
      <c r="D305" s="64">
        <v>45</v>
      </c>
      <c r="E305" s="64">
        <v>2</v>
      </c>
      <c r="F305" s="173"/>
      <c r="G305" s="61">
        <v>135678</v>
      </c>
      <c r="H305" s="66" t="s">
        <v>266</v>
      </c>
      <c r="I305" s="67">
        <v>180</v>
      </c>
      <c r="J305" s="157">
        <v>45</v>
      </c>
      <c r="K305" s="64">
        <v>1</v>
      </c>
    </row>
    <row r="306" spans="1:11" ht="108" customHeight="1" x14ac:dyDescent="1.9">
      <c r="A306" s="61" t="s">
        <v>396</v>
      </c>
      <c r="B306" s="66"/>
      <c r="C306" s="67"/>
      <c r="D306" s="64"/>
      <c r="E306" s="64">
        <v>1</v>
      </c>
      <c r="F306" s="173"/>
      <c r="G306" s="59">
        <v>92780</v>
      </c>
      <c r="H306" s="20" t="s">
        <v>338</v>
      </c>
      <c r="I306" s="28"/>
      <c r="J306" s="161"/>
      <c r="K306" s="64">
        <v>1</v>
      </c>
    </row>
    <row r="307" spans="1:11" ht="108" customHeight="1" x14ac:dyDescent="1.9">
      <c r="A307" s="61"/>
      <c r="B307" s="66"/>
      <c r="C307" s="67"/>
      <c r="D307" s="64"/>
      <c r="E307" s="64">
        <v>1</v>
      </c>
      <c r="F307" s="173"/>
      <c r="G307" s="59">
        <v>160243</v>
      </c>
      <c r="H307" s="20" t="s">
        <v>177</v>
      </c>
      <c r="I307" s="28"/>
      <c r="J307" s="161"/>
      <c r="K307" s="64">
        <v>1</v>
      </c>
    </row>
    <row r="308" spans="1:11" ht="108" customHeight="1" x14ac:dyDescent="1.9">
      <c r="A308" s="61"/>
      <c r="B308" s="66"/>
      <c r="C308" s="67"/>
      <c r="D308" s="64"/>
      <c r="E308" s="64">
        <v>1</v>
      </c>
      <c r="F308" s="173"/>
      <c r="G308" s="59">
        <v>92777</v>
      </c>
      <c r="H308" s="20" t="s">
        <v>344</v>
      </c>
      <c r="I308" s="28"/>
      <c r="J308" s="161"/>
      <c r="K308" s="64">
        <v>1</v>
      </c>
    </row>
    <row r="309" spans="1:11" ht="108" customHeight="1" x14ac:dyDescent="1.9">
      <c r="A309" s="61"/>
      <c r="B309" s="66"/>
      <c r="C309" s="67"/>
      <c r="D309" s="64"/>
      <c r="E309" s="64">
        <v>1</v>
      </c>
      <c r="F309" s="173"/>
      <c r="G309" s="59">
        <v>92778</v>
      </c>
      <c r="H309" s="20" t="s">
        <v>345</v>
      </c>
      <c r="I309" s="28"/>
      <c r="J309" s="161"/>
      <c r="K309" s="64">
        <v>1</v>
      </c>
    </row>
    <row r="310" spans="1:11" ht="108" customHeight="1" x14ac:dyDescent="1.9">
      <c r="A310" s="61"/>
      <c r="B310" s="66"/>
      <c r="C310" s="67"/>
      <c r="D310" s="64"/>
      <c r="E310" s="64">
        <v>3</v>
      </c>
      <c r="F310" s="173"/>
      <c r="G310" s="61">
        <v>160247</v>
      </c>
      <c r="H310" s="66" t="s">
        <v>102</v>
      </c>
      <c r="I310" s="67">
        <v>450</v>
      </c>
      <c r="J310" s="157">
        <v>90</v>
      </c>
      <c r="K310" s="64">
        <v>1</v>
      </c>
    </row>
    <row r="311" spans="1:11" ht="108" customHeight="1" x14ac:dyDescent="1.9">
      <c r="A311" s="61">
        <v>160201</v>
      </c>
      <c r="B311" s="68" t="s">
        <v>127</v>
      </c>
      <c r="C311" s="65"/>
      <c r="D311" s="64">
        <v>66</v>
      </c>
      <c r="E311" s="64">
        <v>6</v>
      </c>
      <c r="F311" s="173"/>
      <c r="G311" s="61">
        <v>160201</v>
      </c>
      <c r="H311" s="68" t="s">
        <v>127</v>
      </c>
      <c r="I311" s="65"/>
      <c r="J311" s="157"/>
      <c r="K311" s="64">
        <v>1</v>
      </c>
    </row>
    <row r="312" spans="1:11" ht="108" customHeight="1" x14ac:dyDescent="1.9">
      <c r="A312" s="61" t="s">
        <v>396</v>
      </c>
      <c r="B312" s="68"/>
      <c r="C312" s="65"/>
      <c r="D312" s="64"/>
      <c r="E312" s="64">
        <v>1</v>
      </c>
      <c r="F312" s="173"/>
      <c r="G312" s="24">
        <v>135688</v>
      </c>
      <c r="H312" s="15" t="s">
        <v>254</v>
      </c>
      <c r="I312" s="29"/>
      <c r="J312" s="165"/>
      <c r="K312" s="64">
        <v>1</v>
      </c>
    </row>
    <row r="313" spans="1:11" ht="108" customHeight="1" x14ac:dyDescent="1.9">
      <c r="A313" s="61"/>
      <c r="B313" s="68"/>
      <c r="C313" s="63"/>
      <c r="D313" s="64"/>
      <c r="E313" s="64">
        <v>1</v>
      </c>
      <c r="F313" s="173"/>
      <c r="G313" s="61">
        <v>135795</v>
      </c>
      <c r="H313" s="68" t="s">
        <v>328</v>
      </c>
      <c r="I313" s="63"/>
      <c r="J313" s="157"/>
      <c r="K313" s="64">
        <v>1</v>
      </c>
    </row>
    <row r="314" spans="1:11" ht="107.4" x14ac:dyDescent="1.9">
      <c r="A314" s="61">
        <v>136402</v>
      </c>
      <c r="B314" s="68" t="s">
        <v>325</v>
      </c>
      <c r="C314" s="63">
        <v>1</v>
      </c>
      <c r="D314" s="64">
        <v>56</v>
      </c>
      <c r="E314" s="64">
        <v>1</v>
      </c>
      <c r="F314" s="173"/>
      <c r="G314" s="61">
        <v>136402</v>
      </c>
      <c r="H314" s="68" t="s">
        <v>325</v>
      </c>
      <c r="I314" s="63"/>
      <c r="J314" s="157">
        <v>56</v>
      </c>
      <c r="K314" s="64">
        <v>1</v>
      </c>
    </row>
    <row r="315" spans="1:11" ht="107.4" x14ac:dyDescent="1.9">
      <c r="A315" s="61"/>
      <c r="B315" s="68"/>
      <c r="C315" s="63"/>
      <c r="D315" s="64"/>
      <c r="E315" s="64">
        <v>1</v>
      </c>
      <c r="F315" s="173"/>
      <c r="G315" s="24">
        <v>160249</v>
      </c>
      <c r="H315" s="15" t="s">
        <v>128</v>
      </c>
      <c r="I315" s="26"/>
      <c r="J315" s="165"/>
      <c r="K315" s="64">
        <v>1</v>
      </c>
    </row>
    <row r="316" spans="1:11" ht="107.4" x14ac:dyDescent="1.9">
      <c r="A316" s="61"/>
      <c r="B316" s="68"/>
      <c r="C316" s="63"/>
      <c r="D316" s="64"/>
      <c r="E316" s="64">
        <v>1</v>
      </c>
      <c r="F316" s="173"/>
      <c r="G316" s="24">
        <v>160211</v>
      </c>
      <c r="H316" s="15" t="s">
        <v>192</v>
      </c>
      <c r="I316" s="26"/>
      <c r="J316" s="165"/>
      <c r="K316" s="64">
        <v>1</v>
      </c>
    </row>
    <row r="317" spans="1:11" ht="108" customHeight="1" x14ac:dyDescent="1.9">
      <c r="A317" s="61"/>
      <c r="B317" s="68"/>
      <c r="C317" s="63"/>
      <c r="D317" s="64"/>
      <c r="E317" s="64">
        <v>1</v>
      </c>
      <c r="F317" s="173"/>
      <c r="G317" s="61">
        <v>135748</v>
      </c>
      <c r="H317" s="68" t="s">
        <v>305</v>
      </c>
      <c r="I317" s="63">
        <v>135</v>
      </c>
      <c r="J317" s="157">
        <v>45</v>
      </c>
      <c r="K317" s="64">
        <v>1</v>
      </c>
    </row>
    <row r="318" spans="1:11" ht="108" customHeight="1" x14ac:dyDescent="1.9">
      <c r="A318" s="61">
        <v>135675</v>
      </c>
      <c r="B318" s="68" t="s">
        <v>265</v>
      </c>
      <c r="C318" s="63">
        <v>180</v>
      </c>
      <c r="D318" s="64">
        <v>45</v>
      </c>
      <c r="E318" s="64">
        <v>1</v>
      </c>
      <c r="F318" s="173"/>
      <c r="G318" s="61">
        <v>135675</v>
      </c>
      <c r="H318" s="68" t="s">
        <v>265</v>
      </c>
      <c r="I318" s="63">
        <v>135</v>
      </c>
      <c r="J318" s="157">
        <v>45</v>
      </c>
      <c r="K318" s="64">
        <v>1</v>
      </c>
    </row>
    <row r="319" spans="1:11" ht="107.4" x14ac:dyDescent="1.9">
      <c r="A319" s="61"/>
      <c r="B319" s="68"/>
      <c r="C319" s="63"/>
      <c r="D319" s="64"/>
      <c r="E319" s="64">
        <v>1</v>
      </c>
      <c r="F319" s="173"/>
      <c r="G319" s="61">
        <v>135745</v>
      </c>
      <c r="H319" s="68" t="s">
        <v>296</v>
      </c>
      <c r="I319" s="26"/>
      <c r="J319" s="165"/>
      <c r="K319" s="64">
        <v>1</v>
      </c>
    </row>
    <row r="320" spans="1:11" ht="107.4" x14ac:dyDescent="1.9">
      <c r="A320" s="61"/>
      <c r="B320" s="68"/>
      <c r="C320" s="63"/>
      <c r="D320" s="64"/>
      <c r="E320" s="64">
        <v>1</v>
      </c>
      <c r="F320" s="173"/>
      <c r="G320" s="24">
        <v>160426</v>
      </c>
      <c r="H320" s="15" t="s">
        <v>178</v>
      </c>
      <c r="I320" s="26"/>
      <c r="J320" s="165"/>
      <c r="K320" s="64">
        <v>1</v>
      </c>
    </row>
    <row r="321" spans="1:11" ht="107.4" x14ac:dyDescent="1.9">
      <c r="A321" s="61"/>
      <c r="B321" s="68"/>
      <c r="C321" s="63"/>
      <c r="D321" s="64"/>
      <c r="E321" s="64">
        <v>1</v>
      </c>
      <c r="F321" s="173"/>
      <c r="G321" s="24">
        <v>160726</v>
      </c>
      <c r="H321" s="15" t="s">
        <v>178</v>
      </c>
      <c r="I321" s="26"/>
      <c r="J321" s="165"/>
      <c r="K321" s="64">
        <v>1</v>
      </c>
    </row>
    <row r="322" spans="1:11" ht="107.4" x14ac:dyDescent="1.9">
      <c r="A322" s="61"/>
      <c r="B322" s="68"/>
      <c r="C322" s="63"/>
      <c r="D322" s="64"/>
      <c r="E322" s="64">
        <v>1</v>
      </c>
      <c r="F322" s="173"/>
      <c r="G322" s="24">
        <v>160419</v>
      </c>
      <c r="H322" s="15" t="s">
        <v>154</v>
      </c>
      <c r="I322" s="26"/>
      <c r="J322" s="165"/>
      <c r="K322" s="64">
        <v>1</v>
      </c>
    </row>
    <row r="323" spans="1:11" ht="107.4" x14ac:dyDescent="1.9">
      <c r="A323" s="61"/>
      <c r="B323" s="68"/>
      <c r="C323" s="63"/>
      <c r="D323" s="64"/>
      <c r="E323" s="64">
        <v>1</v>
      </c>
      <c r="F323" s="173"/>
      <c r="G323" s="24">
        <v>160469</v>
      </c>
      <c r="H323" s="15" t="s">
        <v>155</v>
      </c>
      <c r="I323" s="26"/>
      <c r="J323" s="165"/>
      <c r="K323" s="64">
        <v>1</v>
      </c>
    </row>
    <row r="324" spans="1:11" ht="107.4" x14ac:dyDescent="1.9">
      <c r="A324" s="61"/>
      <c r="B324" s="62"/>
      <c r="C324" s="63"/>
      <c r="D324" s="64"/>
      <c r="E324" s="64">
        <v>1</v>
      </c>
      <c r="F324" s="173"/>
      <c r="G324" s="24">
        <v>160158</v>
      </c>
      <c r="H324" s="11" t="s">
        <v>156</v>
      </c>
      <c r="I324" s="26"/>
      <c r="J324" s="165"/>
      <c r="K324" s="64">
        <v>1</v>
      </c>
    </row>
    <row r="325" spans="1:11" ht="107.4" x14ac:dyDescent="1.9">
      <c r="A325" s="61"/>
      <c r="B325" s="62"/>
      <c r="C325" s="63"/>
      <c r="D325" s="64"/>
      <c r="E325" s="64">
        <v>1</v>
      </c>
      <c r="F325" s="173"/>
      <c r="G325" s="24">
        <v>160388</v>
      </c>
      <c r="H325" s="11" t="s">
        <v>157</v>
      </c>
      <c r="I325" s="26"/>
      <c r="J325" s="165"/>
      <c r="K325" s="64">
        <v>1</v>
      </c>
    </row>
    <row r="326" spans="1:11" ht="108" customHeight="1" x14ac:dyDescent="1.9">
      <c r="A326" s="61"/>
      <c r="B326" s="68"/>
      <c r="C326" s="63"/>
      <c r="D326" s="64"/>
      <c r="E326" s="64">
        <v>1</v>
      </c>
      <c r="F326" s="173"/>
      <c r="G326" s="61">
        <v>92796</v>
      </c>
      <c r="H326" s="68" t="s">
        <v>355</v>
      </c>
      <c r="I326" s="26"/>
      <c r="J326" s="165"/>
      <c r="K326" s="64">
        <v>1</v>
      </c>
    </row>
    <row r="327" spans="1:11" ht="108" customHeight="1" x14ac:dyDescent="1.9">
      <c r="A327" s="61"/>
      <c r="B327" s="68"/>
      <c r="C327" s="63"/>
      <c r="D327" s="64"/>
      <c r="E327" s="64">
        <v>1</v>
      </c>
      <c r="F327" s="173"/>
      <c r="G327" s="61">
        <v>56664</v>
      </c>
      <c r="H327" s="68" t="s">
        <v>356</v>
      </c>
      <c r="I327" s="26"/>
      <c r="J327" s="165"/>
      <c r="K327" s="64">
        <v>1</v>
      </c>
    </row>
    <row r="328" spans="1:11" ht="107.4" x14ac:dyDescent="1.9">
      <c r="A328" s="61"/>
      <c r="B328" s="68"/>
      <c r="C328" s="63"/>
      <c r="D328" s="64"/>
      <c r="E328" s="64">
        <v>1</v>
      </c>
      <c r="F328" s="173"/>
      <c r="G328" s="61">
        <v>56665</v>
      </c>
      <c r="H328" s="68" t="s">
        <v>359</v>
      </c>
      <c r="I328" s="26"/>
      <c r="J328" s="165"/>
      <c r="K328" s="64">
        <v>1</v>
      </c>
    </row>
    <row r="329" spans="1:11" ht="107.4" x14ac:dyDescent="1.9">
      <c r="A329" s="61"/>
      <c r="B329" s="62"/>
      <c r="C329" s="63"/>
      <c r="D329" s="64"/>
      <c r="E329" s="64">
        <v>1</v>
      </c>
      <c r="F329" s="173"/>
      <c r="G329" s="24">
        <v>160349</v>
      </c>
      <c r="H329" s="11" t="s">
        <v>158</v>
      </c>
      <c r="I329" s="26"/>
      <c r="J329" s="165"/>
      <c r="K329" s="64">
        <v>1</v>
      </c>
    </row>
    <row r="330" spans="1:11" ht="107.4" x14ac:dyDescent="1.9">
      <c r="A330" s="61"/>
      <c r="B330" s="62"/>
      <c r="C330" s="63"/>
      <c r="D330" s="64"/>
      <c r="E330" s="64">
        <v>1</v>
      </c>
      <c r="F330" s="173"/>
      <c r="G330" s="24">
        <v>160350</v>
      </c>
      <c r="H330" s="11" t="s">
        <v>149</v>
      </c>
      <c r="I330" s="26"/>
      <c r="J330" s="165"/>
      <c r="K330" s="64">
        <v>1</v>
      </c>
    </row>
    <row r="331" spans="1:11" ht="107.4" x14ac:dyDescent="1.9">
      <c r="A331" s="61"/>
      <c r="B331" s="62"/>
      <c r="C331" s="63"/>
      <c r="D331" s="64"/>
      <c r="E331" s="64">
        <v>1</v>
      </c>
      <c r="F331" s="173"/>
      <c r="G331" s="24">
        <v>160351</v>
      </c>
      <c r="H331" s="11" t="s">
        <v>159</v>
      </c>
      <c r="I331" s="26"/>
      <c r="J331" s="165"/>
      <c r="K331" s="64">
        <v>1</v>
      </c>
    </row>
    <row r="332" spans="1:11" ht="107.4" x14ac:dyDescent="1.9">
      <c r="A332" s="61"/>
      <c r="B332" s="62"/>
      <c r="C332" s="63"/>
      <c r="D332" s="64"/>
      <c r="E332" s="64">
        <v>1</v>
      </c>
      <c r="F332" s="173"/>
      <c r="G332" s="24">
        <v>160352</v>
      </c>
      <c r="H332" s="11" t="s">
        <v>150</v>
      </c>
      <c r="I332" s="26"/>
      <c r="J332" s="165"/>
      <c r="K332" s="64">
        <v>1</v>
      </c>
    </row>
    <row r="333" spans="1:11" ht="107.4" x14ac:dyDescent="1.9">
      <c r="A333" s="61"/>
      <c r="B333" s="62"/>
      <c r="C333" s="63"/>
      <c r="D333" s="64"/>
      <c r="E333" s="64">
        <v>1</v>
      </c>
      <c r="F333" s="173"/>
      <c r="G333" s="24">
        <v>160341</v>
      </c>
      <c r="H333" s="11" t="s">
        <v>181</v>
      </c>
      <c r="I333" s="26"/>
      <c r="J333" s="165"/>
      <c r="K333" s="64">
        <v>1</v>
      </c>
    </row>
    <row r="334" spans="1:11" ht="107.4" x14ac:dyDescent="1.9">
      <c r="A334" s="61"/>
      <c r="B334" s="62"/>
      <c r="C334" s="63"/>
      <c r="D334" s="64"/>
      <c r="E334" s="64">
        <v>1</v>
      </c>
      <c r="F334" s="173"/>
      <c r="G334" s="24">
        <v>160354</v>
      </c>
      <c r="H334" s="11" t="s">
        <v>174</v>
      </c>
      <c r="I334" s="26"/>
      <c r="J334" s="165"/>
      <c r="K334" s="64">
        <v>1</v>
      </c>
    </row>
    <row r="335" spans="1:11" ht="107.4" x14ac:dyDescent="1.9">
      <c r="A335" s="61"/>
      <c r="B335" s="62"/>
      <c r="C335" s="63"/>
      <c r="D335" s="64"/>
      <c r="E335" s="64">
        <v>1</v>
      </c>
      <c r="F335" s="173"/>
      <c r="G335" s="24">
        <v>160355</v>
      </c>
      <c r="H335" s="11" t="s">
        <v>151</v>
      </c>
      <c r="I335" s="26"/>
      <c r="J335" s="165"/>
      <c r="K335" s="64">
        <v>1</v>
      </c>
    </row>
    <row r="336" spans="1:11" ht="107.4" x14ac:dyDescent="1.9">
      <c r="A336" s="61"/>
      <c r="B336" s="62"/>
      <c r="C336" s="63"/>
      <c r="D336" s="64"/>
      <c r="E336" s="64">
        <v>1</v>
      </c>
      <c r="F336" s="173"/>
      <c r="G336" s="24">
        <v>160356</v>
      </c>
      <c r="H336" s="11" t="s">
        <v>160</v>
      </c>
      <c r="I336" s="26"/>
      <c r="J336" s="165"/>
      <c r="K336" s="64">
        <v>1</v>
      </c>
    </row>
    <row r="337" spans="1:11" ht="107.4" x14ac:dyDescent="1.9">
      <c r="A337" s="61"/>
      <c r="B337" s="62"/>
      <c r="C337" s="63"/>
      <c r="D337" s="64"/>
      <c r="E337" s="64">
        <v>1</v>
      </c>
      <c r="F337" s="173"/>
      <c r="G337" s="24">
        <v>160357</v>
      </c>
      <c r="H337" s="11" t="s">
        <v>152</v>
      </c>
      <c r="I337" s="26"/>
      <c r="J337" s="165"/>
      <c r="K337" s="64">
        <v>1</v>
      </c>
    </row>
    <row r="338" spans="1:11" ht="107.4" x14ac:dyDescent="1.9">
      <c r="A338" s="61"/>
      <c r="B338" s="62"/>
      <c r="C338" s="63"/>
      <c r="D338" s="64"/>
      <c r="E338" s="64">
        <v>1</v>
      </c>
      <c r="F338" s="173"/>
      <c r="G338" s="24">
        <v>160076</v>
      </c>
      <c r="H338" s="11" t="s">
        <v>175</v>
      </c>
      <c r="I338" s="26"/>
      <c r="J338" s="165"/>
      <c r="K338" s="64">
        <v>1</v>
      </c>
    </row>
    <row r="339" spans="1:11" ht="107.4" x14ac:dyDescent="1.9">
      <c r="A339" s="61"/>
      <c r="B339" s="62"/>
      <c r="C339" s="63"/>
      <c r="D339" s="64"/>
      <c r="E339" s="64">
        <v>1</v>
      </c>
      <c r="F339" s="173"/>
      <c r="G339" s="24">
        <v>160521</v>
      </c>
      <c r="H339" s="11" t="s">
        <v>195</v>
      </c>
      <c r="I339" s="26"/>
      <c r="J339" s="165"/>
      <c r="K339" s="64">
        <v>1</v>
      </c>
    </row>
    <row r="340" spans="1:11" ht="107.4" x14ac:dyDescent="1.9">
      <c r="A340" s="61" t="s">
        <v>396</v>
      </c>
      <c r="B340" s="62"/>
      <c r="C340" s="63"/>
      <c r="D340" s="64"/>
      <c r="E340" s="64">
        <v>1</v>
      </c>
      <c r="F340" s="173"/>
      <c r="G340" s="24">
        <v>92779</v>
      </c>
      <c r="H340" s="11" t="s">
        <v>323</v>
      </c>
      <c r="I340" s="26"/>
      <c r="J340" s="165"/>
      <c r="K340" s="64">
        <v>1</v>
      </c>
    </row>
    <row r="341" spans="1:11" ht="108" customHeight="1" x14ac:dyDescent="1.9">
      <c r="A341" s="61"/>
      <c r="B341" s="62"/>
      <c r="C341" s="63"/>
      <c r="D341" s="64"/>
      <c r="E341" s="64">
        <v>6</v>
      </c>
      <c r="F341" s="173"/>
      <c r="G341" s="61">
        <v>160212</v>
      </c>
      <c r="H341" s="62" t="s">
        <v>193</v>
      </c>
      <c r="I341" s="26"/>
      <c r="J341" s="165"/>
      <c r="K341" s="64">
        <v>1</v>
      </c>
    </row>
    <row r="342" spans="1:11" ht="108" customHeight="1" x14ac:dyDescent="1.9">
      <c r="A342" s="61">
        <v>160289</v>
      </c>
      <c r="B342" s="62" t="s">
        <v>182</v>
      </c>
      <c r="C342" s="63"/>
      <c r="D342" s="64"/>
      <c r="E342" s="64">
        <v>6</v>
      </c>
      <c r="F342" s="173"/>
      <c r="G342" s="61">
        <v>160289</v>
      </c>
      <c r="H342" s="62" t="s">
        <v>182</v>
      </c>
      <c r="I342" s="26"/>
      <c r="J342" s="165"/>
      <c r="K342" s="64">
        <v>1</v>
      </c>
    </row>
    <row r="343" spans="1:11" ht="108" customHeight="1" x14ac:dyDescent="1.9">
      <c r="A343" s="61">
        <v>92881</v>
      </c>
      <c r="B343" s="62" t="s">
        <v>453</v>
      </c>
      <c r="C343" s="63"/>
      <c r="D343" s="64"/>
      <c r="E343" s="64">
        <v>6</v>
      </c>
      <c r="F343" s="173"/>
      <c r="G343" s="59">
        <v>92881</v>
      </c>
      <c r="H343" s="11" t="s">
        <v>453</v>
      </c>
      <c r="I343" s="26"/>
      <c r="J343" s="161"/>
      <c r="K343" s="64">
        <v>1</v>
      </c>
    </row>
    <row r="344" spans="1:11" ht="108" customHeight="1" x14ac:dyDescent="1.9">
      <c r="A344" s="61"/>
      <c r="B344" s="62"/>
      <c r="C344" s="63"/>
      <c r="D344" s="64"/>
      <c r="E344" s="64">
        <v>1</v>
      </c>
      <c r="F344" s="173"/>
      <c r="G344" s="59">
        <v>92784</v>
      </c>
      <c r="H344" s="11" t="s">
        <v>331</v>
      </c>
      <c r="I344" s="26"/>
      <c r="J344" s="161"/>
      <c r="K344" s="64">
        <v>1</v>
      </c>
    </row>
    <row r="345" spans="1:11" ht="108" customHeight="1" x14ac:dyDescent="1.9">
      <c r="A345" s="61"/>
      <c r="B345" s="62"/>
      <c r="C345" s="63"/>
      <c r="D345" s="64"/>
      <c r="E345" s="64">
        <v>1</v>
      </c>
      <c r="F345" s="173"/>
      <c r="G345" s="59">
        <v>92797</v>
      </c>
      <c r="H345" s="11" t="s">
        <v>353</v>
      </c>
      <c r="I345" s="26"/>
      <c r="J345" s="161"/>
      <c r="K345" s="64">
        <v>1</v>
      </c>
    </row>
    <row r="346" spans="1:11" ht="108" customHeight="1" x14ac:dyDescent="1.9">
      <c r="A346" s="61"/>
      <c r="B346" s="62"/>
      <c r="C346" s="63"/>
      <c r="D346" s="64"/>
      <c r="E346" s="64">
        <v>1</v>
      </c>
      <c r="F346" s="173"/>
      <c r="G346" s="61">
        <v>160532</v>
      </c>
      <c r="H346" s="62" t="s">
        <v>204</v>
      </c>
      <c r="I346" s="63"/>
      <c r="J346" s="165"/>
      <c r="K346" s="64">
        <v>1</v>
      </c>
    </row>
    <row r="347" spans="1:11" ht="108" customHeight="1" x14ac:dyDescent="1.9">
      <c r="A347" s="61"/>
      <c r="B347" s="62"/>
      <c r="C347" s="63"/>
      <c r="D347" s="64"/>
      <c r="E347" s="64">
        <v>1</v>
      </c>
      <c r="F347" s="173"/>
      <c r="G347" s="59">
        <v>160533</v>
      </c>
      <c r="H347" s="11" t="s">
        <v>205</v>
      </c>
      <c r="I347" s="26"/>
      <c r="J347" s="161"/>
      <c r="K347" s="64">
        <v>1</v>
      </c>
    </row>
    <row r="348" spans="1:11" ht="108" customHeight="1" x14ac:dyDescent="1.9">
      <c r="A348" s="61"/>
      <c r="B348" s="62"/>
      <c r="C348" s="63"/>
      <c r="D348" s="64"/>
      <c r="E348" s="64">
        <v>1</v>
      </c>
      <c r="F348" s="173"/>
      <c r="G348" s="59">
        <v>160534</v>
      </c>
      <c r="H348" s="11" t="s">
        <v>206</v>
      </c>
      <c r="I348" s="26"/>
      <c r="J348" s="161"/>
      <c r="K348" s="64">
        <v>1</v>
      </c>
    </row>
    <row r="349" spans="1:11" ht="108" customHeight="1" x14ac:dyDescent="1.9">
      <c r="A349" s="61"/>
      <c r="B349" s="62"/>
      <c r="C349" s="63"/>
      <c r="D349" s="64"/>
      <c r="E349" s="64">
        <v>1</v>
      </c>
      <c r="F349" s="173"/>
      <c r="G349" s="59">
        <v>160535</v>
      </c>
      <c r="H349" s="11" t="s">
        <v>207</v>
      </c>
      <c r="I349" s="26"/>
      <c r="J349" s="161"/>
      <c r="K349" s="64">
        <v>1</v>
      </c>
    </row>
    <row r="350" spans="1:11" ht="108" customHeight="1" x14ac:dyDescent="1.9">
      <c r="A350" s="61"/>
      <c r="B350" s="62"/>
      <c r="C350" s="63"/>
      <c r="D350" s="64"/>
      <c r="E350" s="64">
        <v>2</v>
      </c>
      <c r="F350" s="173"/>
      <c r="G350" s="61">
        <v>160536</v>
      </c>
      <c r="H350" s="62" t="s">
        <v>239</v>
      </c>
      <c r="I350" s="63"/>
      <c r="J350" s="165"/>
      <c r="K350" s="64">
        <v>1</v>
      </c>
    </row>
    <row r="351" spans="1:11" ht="108" customHeight="1" x14ac:dyDescent="1.9">
      <c r="A351" s="61"/>
      <c r="B351" s="62"/>
      <c r="C351" s="63"/>
      <c r="D351" s="64"/>
      <c r="E351" s="64">
        <v>1</v>
      </c>
      <c r="F351" s="173"/>
      <c r="G351" s="59">
        <v>119917</v>
      </c>
      <c r="H351" s="11" t="s">
        <v>240</v>
      </c>
      <c r="I351" s="26"/>
      <c r="J351" s="161"/>
      <c r="K351" s="64">
        <v>1</v>
      </c>
    </row>
    <row r="352" spans="1:11" ht="108" customHeight="1" x14ac:dyDescent="1.9">
      <c r="A352" s="61"/>
      <c r="B352" s="62"/>
      <c r="C352" s="63"/>
      <c r="D352" s="64"/>
      <c r="E352" s="64">
        <v>1</v>
      </c>
      <c r="F352" s="173"/>
      <c r="G352" s="59">
        <v>120012</v>
      </c>
      <c r="H352" s="11" t="s">
        <v>313</v>
      </c>
      <c r="I352" s="26"/>
      <c r="J352" s="161"/>
      <c r="K352" s="64">
        <v>1</v>
      </c>
    </row>
    <row r="353" spans="1:11" ht="108" customHeight="1" x14ac:dyDescent="1.9">
      <c r="A353" s="61"/>
      <c r="B353" s="62"/>
      <c r="C353" s="63"/>
      <c r="D353" s="64"/>
      <c r="E353" s="64">
        <v>1</v>
      </c>
      <c r="F353" s="173"/>
      <c r="G353" s="59">
        <v>119978</v>
      </c>
      <c r="H353" s="11" t="s">
        <v>306</v>
      </c>
      <c r="I353" s="26"/>
      <c r="J353" s="161"/>
      <c r="K353" s="64">
        <v>1</v>
      </c>
    </row>
    <row r="354" spans="1:11" ht="108" customHeight="1" x14ac:dyDescent="1.9">
      <c r="A354" s="61"/>
      <c r="B354" s="61"/>
      <c r="C354" s="63"/>
      <c r="D354" s="64"/>
      <c r="E354" s="64">
        <v>1</v>
      </c>
      <c r="F354" s="173"/>
      <c r="G354" s="59">
        <v>120081</v>
      </c>
      <c r="H354" s="59" t="s">
        <v>374</v>
      </c>
      <c r="I354" s="26"/>
      <c r="J354" s="161"/>
      <c r="K354" s="64">
        <v>1</v>
      </c>
    </row>
    <row r="355" spans="1:11" ht="108" customHeight="1" x14ac:dyDescent="1.9">
      <c r="A355" s="61"/>
      <c r="B355" s="62"/>
      <c r="C355" s="63"/>
      <c r="D355" s="64"/>
      <c r="E355" s="64">
        <v>1</v>
      </c>
      <c r="F355" s="173"/>
      <c r="G355" s="59">
        <v>120082</v>
      </c>
      <c r="H355" s="11" t="s">
        <v>306</v>
      </c>
      <c r="I355" s="26"/>
      <c r="J355" s="161"/>
      <c r="K355" s="64">
        <v>1</v>
      </c>
    </row>
    <row r="356" spans="1:11" ht="108" customHeight="1" x14ac:dyDescent="1.9">
      <c r="A356" s="61"/>
      <c r="B356" s="62"/>
      <c r="C356" s="63"/>
      <c r="D356" s="64"/>
      <c r="E356" s="64">
        <v>1</v>
      </c>
      <c r="F356" s="173"/>
      <c r="G356" s="61">
        <v>92799</v>
      </c>
      <c r="H356" s="62" t="s">
        <v>365</v>
      </c>
      <c r="I356" s="63"/>
      <c r="J356" s="165"/>
      <c r="K356" s="64">
        <v>1</v>
      </c>
    </row>
    <row r="357" spans="1:11" ht="108" customHeight="1" x14ac:dyDescent="1.9">
      <c r="A357" s="61"/>
      <c r="B357" s="62"/>
      <c r="C357" s="63"/>
      <c r="D357" s="64"/>
      <c r="E357" s="64">
        <v>6</v>
      </c>
      <c r="F357" s="173"/>
      <c r="G357" s="59">
        <v>135774</v>
      </c>
      <c r="H357" s="11" t="s">
        <v>213</v>
      </c>
      <c r="I357" s="26"/>
      <c r="J357" s="161"/>
      <c r="K357" s="64">
        <v>1</v>
      </c>
    </row>
    <row r="358" spans="1:11" ht="108" customHeight="1" x14ac:dyDescent="1.9">
      <c r="A358" s="61"/>
      <c r="B358" s="62"/>
      <c r="C358" s="63"/>
      <c r="D358" s="64"/>
      <c r="E358" s="64">
        <v>1</v>
      </c>
      <c r="F358" s="173"/>
      <c r="G358" s="24">
        <v>160234</v>
      </c>
      <c r="H358" s="11" t="s">
        <v>214</v>
      </c>
      <c r="I358" s="26"/>
      <c r="J358" s="165"/>
      <c r="K358" s="64">
        <v>1</v>
      </c>
    </row>
    <row r="359" spans="1:11" ht="108" customHeight="1" x14ac:dyDescent="1.9">
      <c r="A359" s="61"/>
      <c r="B359" s="61"/>
      <c r="C359" s="63"/>
      <c r="D359" s="64"/>
      <c r="E359" s="64">
        <v>1</v>
      </c>
      <c r="F359" s="173"/>
      <c r="G359" s="61">
        <v>120089</v>
      </c>
      <c r="H359" s="61" t="s">
        <v>390</v>
      </c>
      <c r="I359" s="26"/>
      <c r="J359" s="165"/>
      <c r="K359" s="64">
        <v>1</v>
      </c>
    </row>
    <row r="360" spans="1:11" ht="108" customHeight="1" x14ac:dyDescent="1.9">
      <c r="A360" s="61"/>
      <c r="B360" s="62"/>
      <c r="C360" s="63"/>
      <c r="D360" s="64"/>
      <c r="E360" s="64">
        <v>6</v>
      </c>
      <c r="F360" s="173"/>
      <c r="G360" s="61">
        <v>160880</v>
      </c>
      <c r="H360" s="62" t="s">
        <v>215</v>
      </c>
      <c r="I360" s="63"/>
      <c r="J360" s="157"/>
      <c r="K360" s="64">
        <v>6</v>
      </c>
    </row>
    <row r="361" spans="1:11" ht="108" customHeight="1" x14ac:dyDescent="1.9">
      <c r="A361" s="61"/>
      <c r="B361" s="62"/>
      <c r="C361" s="63"/>
      <c r="D361" s="64"/>
      <c r="E361" s="64">
        <v>12</v>
      </c>
      <c r="F361" s="173"/>
      <c r="G361" s="61">
        <v>135775</v>
      </c>
      <c r="H361" s="62" t="s">
        <v>216</v>
      </c>
      <c r="I361" s="63"/>
      <c r="J361" s="157"/>
      <c r="K361" s="64">
        <v>12</v>
      </c>
    </row>
    <row r="362" spans="1:11" ht="108" customHeight="1" x14ac:dyDescent="1.9">
      <c r="A362" s="61"/>
      <c r="B362" s="62"/>
      <c r="C362" s="63"/>
      <c r="D362" s="64"/>
      <c r="E362" s="64">
        <v>1</v>
      </c>
      <c r="F362" s="173"/>
      <c r="G362" s="61">
        <v>120094</v>
      </c>
      <c r="H362" s="62" t="s">
        <v>375</v>
      </c>
      <c r="I362" s="26"/>
      <c r="J362" s="165"/>
      <c r="K362" s="64">
        <v>18</v>
      </c>
    </row>
    <row r="363" spans="1:11" ht="108" customHeight="1" x14ac:dyDescent="1.9">
      <c r="A363" s="61"/>
      <c r="B363" s="62"/>
      <c r="C363" s="63"/>
      <c r="D363" s="64"/>
      <c r="E363" s="64">
        <v>6</v>
      </c>
      <c r="F363" s="173"/>
      <c r="G363" s="61">
        <v>92809</v>
      </c>
      <c r="H363" s="62" t="s">
        <v>380</v>
      </c>
      <c r="I363" s="26"/>
      <c r="J363" s="165"/>
      <c r="K363" s="64">
        <v>6</v>
      </c>
    </row>
    <row r="364" spans="1:11" ht="108" customHeight="1" x14ac:dyDescent="1.9">
      <c r="A364" s="61" t="s">
        <v>396</v>
      </c>
      <c r="B364" s="62"/>
      <c r="C364" s="63"/>
      <c r="D364" s="64"/>
      <c r="E364" s="64">
        <v>1</v>
      </c>
      <c r="F364" s="173"/>
      <c r="G364" s="24">
        <v>119929</v>
      </c>
      <c r="H364" s="11" t="s">
        <v>218</v>
      </c>
      <c r="I364" s="26"/>
      <c r="J364" s="165"/>
      <c r="K364" s="64">
        <v>1</v>
      </c>
    </row>
    <row r="365" spans="1:11" ht="108" customHeight="1" x14ac:dyDescent="1.9">
      <c r="A365" s="61">
        <v>120193</v>
      </c>
      <c r="B365" s="62" t="s">
        <v>310</v>
      </c>
      <c r="C365" s="63">
        <v>378</v>
      </c>
      <c r="D365" s="64">
        <v>42</v>
      </c>
      <c r="E365" s="64">
        <v>12</v>
      </c>
      <c r="F365" s="173"/>
      <c r="G365" s="61">
        <v>120093</v>
      </c>
      <c r="H365" s="62" t="s">
        <v>310</v>
      </c>
      <c r="I365" s="63"/>
      <c r="J365" s="157"/>
      <c r="K365" s="64">
        <v>12</v>
      </c>
    </row>
    <row r="366" spans="1:11" ht="108" customHeight="1" x14ac:dyDescent="1.9">
      <c r="A366" s="61">
        <v>120194</v>
      </c>
      <c r="B366" s="62" t="s">
        <v>280</v>
      </c>
      <c r="C366" s="63">
        <v>756</v>
      </c>
      <c r="D366" s="64">
        <v>84</v>
      </c>
      <c r="E366" s="64">
        <v>6</v>
      </c>
      <c r="F366" s="173"/>
      <c r="G366" s="61">
        <v>120110</v>
      </c>
      <c r="H366" s="62" t="s">
        <v>280</v>
      </c>
      <c r="I366" s="63"/>
      <c r="J366" s="157"/>
      <c r="K366" s="64">
        <v>6</v>
      </c>
    </row>
    <row r="367" spans="1:11" ht="108" customHeight="1" x14ac:dyDescent="1.9">
      <c r="A367" s="61"/>
      <c r="B367" s="62"/>
      <c r="C367" s="63"/>
      <c r="D367" s="64"/>
      <c r="E367" s="64">
        <v>12</v>
      </c>
      <c r="F367" s="173"/>
      <c r="G367" s="61">
        <v>120102</v>
      </c>
      <c r="H367" s="62" t="s">
        <v>309</v>
      </c>
      <c r="I367" s="63"/>
      <c r="J367" s="157"/>
      <c r="K367" s="64">
        <v>12</v>
      </c>
    </row>
    <row r="368" spans="1:11" ht="108" customHeight="1" x14ac:dyDescent="1.9">
      <c r="A368" s="61">
        <v>120202</v>
      </c>
      <c r="B368" s="62" t="s">
        <v>454</v>
      </c>
      <c r="C368" s="63">
        <v>756</v>
      </c>
      <c r="D368" s="64">
        <v>87</v>
      </c>
      <c r="E368" s="64">
        <v>6</v>
      </c>
      <c r="F368" s="173"/>
      <c r="G368" s="24">
        <v>135652</v>
      </c>
      <c r="H368" s="11" t="s">
        <v>219</v>
      </c>
      <c r="I368" s="26"/>
      <c r="J368" s="165"/>
      <c r="K368" s="64">
        <v>1</v>
      </c>
    </row>
    <row r="369" spans="1:11" ht="108" customHeight="1" x14ac:dyDescent="1.9">
      <c r="A369" s="61"/>
      <c r="B369" s="62"/>
      <c r="C369" s="63"/>
      <c r="D369" s="64"/>
      <c r="E369" s="64">
        <v>1</v>
      </c>
      <c r="F369" s="173"/>
      <c r="G369" s="24">
        <v>135768</v>
      </c>
      <c r="H369" s="11" t="s">
        <v>347</v>
      </c>
      <c r="I369" s="26"/>
      <c r="J369" s="165"/>
      <c r="K369" s="64">
        <v>1</v>
      </c>
    </row>
    <row r="370" spans="1:11" ht="107.4" x14ac:dyDescent="1.9">
      <c r="A370" s="61"/>
      <c r="B370" s="62"/>
      <c r="C370" s="63"/>
      <c r="D370" s="64"/>
      <c r="E370" s="64">
        <v>1</v>
      </c>
      <c r="F370" s="173"/>
      <c r="G370" s="24">
        <v>135653</v>
      </c>
      <c r="H370" s="11" t="s">
        <v>220</v>
      </c>
      <c r="I370" s="26"/>
      <c r="J370" s="165"/>
      <c r="K370" s="64">
        <v>1</v>
      </c>
    </row>
    <row r="371" spans="1:11" ht="107.4" x14ac:dyDescent="1.9">
      <c r="A371" s="61"/>
      <c r="B371" s="62"/>
      <c r="C371" s="63"/>
      <c r="D371" s="64"/>
      <c r="E371" s="64">
        <v>1</v>
      </c>
      <c r="F371" s="173"/>
      <c r="G371" s="24">
        <v>119948</v>
      </c>
      <c r="H371" s="11" t="s">
        <v>221</v>
      </c>
      <c r="I371" s="26"/>
      <c r="J371" s="165"/>
      <c r="K371" s="64">
        <v>1</v>
      </c>
    </row>
    <row r="372" spans="1:11" ht="107.4" x14ac:dyDescent="1.9">
      <c r="A372" s="61"/>
      <c r="B372" s="62"/>
      <c r="C372" s="63"/>
      <c r="D372" s="64"/>
      <c r="E372" s="64">
        <v>1</v>
      </c>
      <c r="F372" s="173"/>
      <c r="G372" s="24">
        <v>160526</v>
      </c>
      <c r="H372" s="11" t="s">
        <v>222</v>
      </c>
      <c r="I372" s="26"/>
      <c r="J372" s="165"/>
      <c r="K372" s="64">
        <v>1</v>
      </c>
    </row>
    <row r="373" spans="1:11" ht="107.4" x14ac:dyDescent="1.9">
      <c r="A373" s="61"/>
      <c r="B373" s="62"/>
      <c r="C373" s="63"/>
      <c r="D373" s="64"/>
      <c r="E373" s="64">
        <v>1</v>
      </c>
      <c r="F373" s="173"/>
      <c r="G373" s="24">
        <v>160528</v>
      </c>
      <c r="H373" s="11" t="s">
        <v>223</v>
      </c>
      <c r="I373" s="26"/>
      <c r="J373" s="165"/>
      <c r="K373" s="64">
        <v>1</v>
      </c>
    </row>
    <row r="374" spans="1:11" ht="107.4" x14ac:dyDescent="1.9">
      <c r="A374" s="61" t="s">
        <v>396</v>
      </c>
      <c r="B374" s="62"/>
      <c r="C374" s="63"/>
      <c r="D374" s="64"/>
      <c r="E374" s="64">
        <v>1</v>
      </c>
      <c r="F374" s="173"/>
      <c r="G374" s="24">
        <v>160530</v>
      </c>
      <c r="H374" s="11" t="s">
        <v>224</v>
      </c>
      <c r="I374" s="26"/>
      <c r="J374" s="165"/>
      <c r="K374" s="64">
        <v>1</v>
      </c>
    </row>
    <row r="375" spans="1:11" ht="108" customHeight="1" x14ac:dyDescent="1.9">
      <c r="A375" s="61">
        <v>120131</v>
      </c>
      <c r="B375" s="62" t="s">
        <v>225</v>
      </c>
      <c r="C375" s="63">
        <v>424</v>
      </c>
      <c r="D375" s="64">
        <v>53</v>
      </c>
      <c r="E375" s="64">
        <v>6</v>
      </c>
      <c r="F375" s="173"/>
      <c r="G375" s="61">
        <v>120131</v>
      </c>
      <c r="H375" s="62" t="s">
        <v>225</v>
      </c>
      <c r="I375" s="63"/>
      <c r="J375" s="165"/>
      <c r="K375" s="64">
        <v>6</v>
      </c>
    </row>
    <row r="376" spans="1:11" ht="108" customHeight="1" x14ac:dyDescent="1.9">
      <c r="A376" s="61">
        <v>120129</v>
      </c>
      <c r="B376" s="62" t="s">
        <v>281</v>
      </c>
      <c r="C376" s="63">
        <v>424</v>
      </c>
      <c r="D376" s="64">
        <v>53</v>
      </c>
      <c r="E376" s="64">
        <v>6</v>
      </c>
      <c r="F376" s="173"/>
      <c r="G376" s="61">
        <v>120129</v>
      </c>
      <c r="H376" s="62" t="s">
        <v>281</v>
      </c>
      <c r="I376" s="63"/>
      <c r="J376" s="165"/>
      <c r="K376" s="64">
        <v>6</v>
      </c>
    </row>
    <row r="377" spans="1:11" ht="108" customHeight="1" x14ac:dyDescent="1.9">
      <c r="A377" s="61">
        <v>120132</v>
      </c>
      <c r="B377" s="62" t="s">
        <v>226</v>
      </c>
      <c r="C377" s="63">
        <v>424</v>
      </c>
      <c r="D377" s="64">
        <v>53</v>
      </c>
      <c r="E377" s="64">
        <v>6</v>
      </c>
      <c r="F377" s="173"/>
      <c r="G377" s="61">
        <v>120132</v>
      </c>
      <c r="H377" s="62" t="s">
        <v>226</v>
      </c>
      <c r="I377" s="63"/>
      <c r="J377" s="165"/>
      <c r="K377" s="64">
        <v>6</v>
      </c>
    </row>
    <row r="378" spans="1:11" ht="108" customHeight="1" x14ac:dyDescent="1.9">
      <c r="A378" s="61">
        <v>120128</v>
      </c>
      <c r="B378" s="62" t="s">
        <v>270</v>
      </c>
      <c r="C378" s="63">
        <v>424</v>
      </c>
      <c r="D378" s="64">
        <v>53</v>
      </c>
      <c r="E378" s="64">
        <v>6</v>
      </c>
      <c r="F378" s="173"/>
      <c r="G378" s="61">
        <v>120128</v>
      </c>
      <c r="H378" s="62" t="s">
        <v>270</v>
      </c>
      <c r="I378" s="63"/>
      <c r="J378" s="165"/>
      <c r="K378" s="64">
        <v>6</v>
      </c>
    </row>
    <row r="379" spans="1:11" ht="107.4" x14ac:dyDescent="1.9">
      <c r="A379" s="61">
        <v>120130</v>
      </c>
      <c r="B379" s="62" t="s">
        <v>366</v>
      </c>
      <c r="C379" s="63">
        <v>424</v>
      </c>
      <c r="D379" s="64">
        <v>53</v>
      </c>
      <c r="E379" s="64">
        <v>6</v>
      </c>
      <c r="F379" s="173"/>
      <c r="G379" s="61">
        <v>120130</v>
      </c>
      <c r="H379" s="62" t="s">
        <v>366</v>
      </c>
      <c r="I379" s="63"/>
      <c r="J379" s="165"/>
      <c r="K379" s="64">
        <v>6</v>
      </c>
    </row>
    <row r="380" spans="1:11" ht="107.4" x14ac:dyDescent="1.9">
      <c r="A380" s="61" t="s">
        <v>396</v>
      </c>
      <c r="B380" s="62"/>
      <c r="C380" s="63"/>
      <c r="D380" s="64"/>
      <c r="E380" s="64">
        <v>1</v>
      </c>
      <c r="F380" s="173"/>
      <c r="G380" s="24">
        <v>119922</v>
      </c>
      <c r="H380" s="11" t="s">
        <v>236</v>
      </c>
      <c r="I380" s="26"/>
      <c r="J380" s="165"/>
      <c r="K380" s="64">
        <v>1</v>
      </c>
    </row>
    <row r="381" spans="1:11" ht="107.4" x14ac:dyDescent="1.9">
      <c r="A381" s="61"/>
      <c r="B381" s="62"/>
      <c r="C381" s="63"/>
      <c r="D381" s="64"/>
      <c r="E381" s="64">
        <v>1</v>
      </c>
      <c r="F381" s="173"/>
      <c r="G381" s="24">
        <v>119923</v>
      </c>
      <c r="H381" s="11" t="s">
        <v>237</v>
      </c>
      <c r="I381" s="26"/>
      <c r="J381" s="165"/>
      <c r="K381" s="64">
        <v>1</v>
      </c>
    </row>
    <row r="382" spans="1:11" ht="107.4" x14ac:dyDescent="1.9">
      <c r="A382" s="61">
        <v>136399</v>
      </c>
      <c r="B382" s="62" t="s">
        <v>455</v>
      </c>
      <c r="C382" s="63"/>
      <c r="D382" s="64">
        <v>26</v>
      </c>
      <c r="E382" s="64">
        <v>12</v>
      </c>
      <c r="F382" s="173"/>
      <c r="G382" s="24">
        <v>160632</v>
      </c>
      <c r="H382" s="11" t="s">
        <v>227</v>
      </c>
      <c r="I382" s="26"/>
      <c r="J382" s="165"/>
      <c r="K382" s="64">
        <v>1</v>
      </c>
    </row>
    <row r="383" spans="1:11" ht="108" customHeight="1" x14ac:dyDescent="1.9">
      <c r="A383" s="61">
        <v>135767</v>
      </c>
      <c r="B383" s="62" t="s">
        <v>228</v>
      </c>
      <c r="C383" s="63">
        <v>308</v>
      </c>
      <c r="D383" s="64">
        <v>22</v>
      </c>
      <c r="E383" s="64">
        <v>12</v>
      </c>
      <c r="F383" s="173"/>
      <c r="G383" s="61">
        <v>135767</v>
      </c>
      <c r="H383" s="62" t="s">
        <v>228</v>
      </c>
      <c r="I383" s="63"/>
      <c r="J383" s="157"/>
      <c r="K383" s="64">
        <v>12</v>
      </c>
    </row>
    <row r="384" spans="1:11" ht="108" customHeight="1" x14ac:dyDescent="1.9">
      <c r="A384" s="61"/>
      <c r="B384" s="62"/>
      <c r="C384" s="63"/>
      <c r="D384" s="64"/>
      <c r="E384" s="64">
        <v>1</v>
      </c>
      <c r="F384" s="173"/>
      <c r="G384" s="24">
        <v>56444</v>
      </c>
      <c r="H384" s="11" t="s">
        <v>258</v>
      </c>
      <c r="I384" s="26"/>
      <c r="J384" s="165"/>
      <c r="K384" s="64">
        <v>1</v>
      </c>
    </row>
    <row r="385" spans="1:11" ht="108" customHeight="1" x14ac:dyDescent="1.9">
      <c r="A385" s="61"/>
      <c r="B385" s="62"/>
      <c r="C385" s="63"/>
      <c r="D385" s="64"/>
      <c r="E385" s="64">
        <v>1</v>
      </c>
      <c r="F385" s="173"/>
      <c r="G385" s="24">
        <v>56441</v>
      </c>
      <c r="H385" s="11" t="s">
        <v>260</v>
      </c>
      <c r="I385" s="26"/>
      <c r="J385" s="165"/>
      <c r="K385" s="64">
        <v>1</v>
      </c>
    </row>
    <row r="386" spans="1:11" ht="108" customHeight="1" x14ac:dyDescent="1.9">
      <c r="A386" s="61"/>
      <c r="B386" s="62"/>
      <c r="C386" s="63"/>
      <c r="D386" s="64">
        <v>26</v>
      </c>
      <c r="E386" s="64">
        <v>12</v>
      </c>
      <c r="F386" s="173"/>
      <c r="G386" s="61">
        <v>135754</v>
      </c>
      <c r="H386" s="62" t="s">
        <v>229</v>
      </c>
      <c r="I386" s="63"/>
      <c r="J386" s="157"/>
      <c r="K386" s="64">
        <v>12</v>
      </c>
    </row>
    <row r="387" spans="1:11" ht="108" customHeight="1" x14ac:dyDescent="1.9">
      <c r="A387" s="61"/>
      <c r="B387" s="62"/>
      <c r="C387" s="63"/>
      <c r="D387" s="64"/>
      <c r="E387" s="64">
        <v>1</v>
      </c>
      <c r="F387" s="173"/>
      <c r="G387" s="61">
        <v>135777</v>
      </c>
      <c r="H387" s="62" t="s">
        <v>255</v>
      </c>
      <c r="I387" s="63"/>
      <c r="J387" s="157"/>
      <c r="K387" s="64">
        <v>1</v>
      </c>
    </row>
    <row r="388" spans="1:11" ht="107.4" x14ac:dyDescent="1.9">
      <c r="A388" s="61"/>
      <c r="B388" s="62"/>
      <c r="C388" s="63"/>
      <c r="D388" s="64"/>
      <c r="E388" s="64">
        <v>1</v>
      </c>
      <c r="F388" s="173"/>
      <c r="G388" s="24">
        <v>92733</v>
      </c>
      <c r="H388" s="11" t="s">
        <v>230</v>
      </c>
      <c r="I388" s="26"/>
      <c r="J388" s="165"/>
      <c r="K388" s="64">
        <v>1</v>
      </c>
    </row>
    <row r="389" spans="1:11" ht="107.4" x14ac:dyDescent="1.9">
      <c r="A389" s="61"/>
      <c r="B389" s="62"/>
      <c r="C389" s="63"/>
      <c r="D389" s="64"/>
      <c r="E389" s="64">
        <v>1</v>
      </c>
      <c r="F389" s="173"/>
      <c r="G389" s="24">
        <v>119924</v>
      </c>
      <c r="H389" s="11" t="s">
        <v>232</v>
      </c>
      <c r="I389" s="26"/>
      <c r="J389" s="165"/>
      <c r="K389" s="64">
        <v>1</v>
      </c>
    </row>
    <row r="390" spans="1:11" ht="107.4" x14ac:dyDescent="1.9">
      <c r="A390" s="61"/>
      <c r="B390" s="62"/>
      <c r="C390" s="63"/>
      <c r="D390" s="64"/>
      <c r="E390" s="64">
        <v>1</v>
      </c>
      <c r="F390" s="173"/>
      <c r="G390" s="24">
        <v>120017</v>
      </c>
      <c r="H390" s="11" t="s">
        <v>282</v>
      </c>
      <c r="I390" s="26"/>
      <c r="J390" s="165"/>
      <c r="K390" s="64">
        <v>1</v>
      </c>
    </row>
    <row r="391" spans="1:11" ht="107.4" x14ac:dyDescent="1.9">
      <c r="A391" s="61"/>
      <c r="B391" s="62"/>
      <c r="C391" s="63"/>
      <c r="D391" s="64"/>
      <c r="E391" s="64">
        <v>1</v>
      </c>
      <c r="F391" s="173"/>
      <c r="G391" s="24">
        <v>119926</v>
      </c>
      <c r="H391" s="11" t="s">
        <v>243</v>
      </c>
      <c r="I391" s="26"/>
      <c r="J391" s="165"/>
      <c r="K391" s="64">
        <v>1</v>
      </c>
    </row>
    <row r="392" spans="1:11" ht="107.4" x14ac:dyDescent="1.9">
      <c r="A392" s="61"/>
      <c r="B392" s="62"/>
      <c r="C392" s="63"/>
      <c r="D392" s="64"/>
      <c r="E392" s="64">
        <v>1</v>
      </c>
      <c r="F392" s="173"/>
      <c r="G392" s="24">
        <v>119979</v>
      </c>
      <c r="H392" s="11" t="s">
        <v>273</v>
      </c>
      <c r="I392" s="26"/>
      <c r="J392" s="165"/>
      <c r="K392" s="64">
        <v>1</v>
      </c>
    </row>
    <row r="393" spans="1:11" ht="108" customHeight="1" x14ac:dyDescent="1.9">
      <c r="A393" s="61"/>
      <c r="B393" s="62"/>
      <c r="C393" s="63"/>
      <c r="D393" s="64"/>
      <c r="E393" s="64">
        <v>1</v>
      </c>
      <c r="F393" s="173"/>
      <c r="G393" s="61">
        <v>120046</v>
      </c>
      <c r="H393" s="62" t="s">
        <v>322</v>
      </c>
      <c r="I393" s="63"/>
      <c r="J393" s="157"/>
      <c r="K393" s="64">
        <v>1</v>
      </c>
    </row>
    <row r="394" spans="1:11" ht="108" customHeight="1" x14ac:dyDescent="1.9">
      <c r="A394" s="61"/>
      <c r="B394" s="62"/>
      <c r="C394" s="63"/>
      <c r="D394" s="64"/>
      <c r="E394" s="64">
        <v>12</v>
      </c>
      <c r="F394" s="173"/>
      <c r="G394" s="61">
        <v>160741</v>
      </c>
      <c r="H394" s="62" t="s">
        <v>233</v>
      </c>
      <c r="I394" s="63"/>
      <c r="J394" s="157"/>
      <c r="K394" s="64">
        <v>12</v>
      </c>
    </row>
    <row r="395" spans="1:11" ht="108" customHeight="1" x14ac:dyDescent="1.9">
      <c r="A395" s="61"/>
      <c r="B395" s="62"/>
      <c r="C395" s="63"/>
      <c r="D395" s="64"/>
      <c r="E395" s="64">
        <v>1</v>
      </c>
      <c r="F395" s="173"/>
      <c r="G395" s="24">
        <v>135702</v>
      </c>
      <c r="H395" s="11" t="s">
        <v>274</v>
      </c>
      <c r="I395" s="26"/>
      <c r="J395" s="165"/>
      <c r="K395" s="64">
        <v>1</v>
      </c>
    </row>
    <row r="396" spans="1:11" ht="108" customHeight="1" x14ac:dyDescent="1.9">
      <c r="A396" s="61">
        <v>160029</v>
      </c>
      <c r="B396" s="62" t="s">
        <v>269</v>
      </c>
      <c r="C396" s="63">
        <v>308</v>
      </c>
      <c r="D396" s="64">
        <v>22</v>
      </c>
      <c r="E396" s="64">
        <v>12</v>
      </c>
      <c r="F396" s="173"/>
      <c r="G396" s="61">
        <v>160029</v>
      </c>
      <c r="H396" s="62" t="s">
        <v>269</v>
      </c>
      <c r="I396" s="63">
        <v>308</v>
      </c>
      <c r="J396" s="157">
        <v>22</v>
      </c>
      <c r="K396" s="64">
        <v>12</v>
      </c>
    </row>
    <row r="397" spans="1:11" ht="108" customHeight="1" x14ac:dyDescent="1.9">
      <c r="A397" s="61"/>
      <c r="B397" s="62"/>
      <c r="C397" s="63"/>
      <c r="D397" s="64"/>
      <c r="E397" s="64">
        <v>1</v>
      </c>
      <c r="F397" s="173"/>
      <c r="G397" s="61">
        <v>135952</v>
      </c>
      <c r="H397" s="62" t="s">
        <v>382</v>
      </c>
      <c r="I397" s="63"/>
      <c r="J397" s="157"/>
      <c r="K397" s="64">
        <v>1</v>
      </c>
    </row>
    <row r="398" spans="1:11" ht="108" customHeight="1" x14ac:dyDescent="1.9">
      <c r="A398" s="61"/>
      <c r="B398" s="62"/>
      <c r="C398" s="63"/>
      <c r="D398" s="64"/>
      <c r="E398" s="64">
        <v>1</v>
      </c>
      <c r="F398" s="173"/>
      <c r="G398" s="61">
        <v>135939</v>
      </c>
      <c r="H398" s="62" t="s">
        <v>383</v>
      </c>
      <c r="I398" s="63"/>
      <c r="J398" s="157"/>
      <c r="K398" s="64">
        <v>1</v>
      </c>
    </row>
    <row r="399" spans="1:11" ht="108" customHeight="1" x14ac:dyDescent="1.9">
      <c r="A399" s="61"/>
      <c r="B399" s="62"/>
      <c r="C399" s="63"/>
      <c r="D399" s="64"/>
      <c r="E399" s="64">
        <v>1</v>
      </c>
      <c r="F399" s="173"/>
      <c r="G399" s="61">
        <v>120107</v>
      </c>
      <c r="H399" s="62" t="s">
        <v>384</v>
      </c>
      <c r="I399" s="63"/>
      <c r="J399" s="157"/>
      <c r="K399" s="64">
        <v>1</v>
      </c>
    </row>
    <row r="400" spans="1:11" ht="108" customHeight="1" x14ac:dyDescent="1.9">
      <c r="A400" s="61"/>
      <c r="B400" s="62"/>
      <c r="C400" s="63"/>
      <c r="D400" s="64"/>
      <c r="E400" s="64">
        <v>1</v>
      </c>
      <c r="F400" s="173"/>
      <c r="G400" s="61">
        <v>136127</v>
      </c>
      <c r="H400" s="62" t="s">
        <v>385</v>
      </c>
      <c r="I400" s="63"/>
      <c r="J400" s="157"/>
      <c r="K400" s="64">
        <v>1</v>
      </c>
    </row>
    <row r="401" spans="1:11" ht="108" customHeight="1" x14ac:dyDescent="1.9">
      <c r="A401" s="61"/>
      <c r="B401" s="62"/>
      <c r="C401" s="63"/>
      <c r="D401" s="64"/>
      <c r="E401" s="64">
        <v>1</v>
      </c>
      <c r="F401" s="173"/>
      <c r="G401" s="61">
        <v>120104</v>
      </c>
      <c r="H401" s="62" t="s">
        <v>386</v>
      </c>
      <c r="I401" s="63"/>
      <c r="J401" s="157"/>
      <c r="K401" s="64">
        <v>1</v>
      </c>
    </row>
    <row r="402" spans="1:11" ht="108" customHeight="1" x14ac:dyDescent="1.9">
      <c r="A402" s="61"/>
      <c r="B402" s="62"/>
      <c r="C402" s="63"/>
      <c r="D402" s="64"/>
      <c r="E402" s="64">
        <v>1</v>
      </c>
      <c r="F402" s="173"/>
      <c r="G402" s="61">
        <v>160290</v>
      </c>
      <c r="H402" s="62" t="s">
        <v>387</v>
      </c>
      <c r="I402" s="63"/>
      <c r="J402" s="157"/>
      <c r="K402" s="64">
        <v>1</v>
      </c>
    </row>
    <row r="403" spans="1:11" ht="108" customHeight="1" x14ac:dyDescent="1.9">
      <c r="A403" s="61">
        <v>136689</v>
      </c>
      <c r="B403" s="62" t="s">
        <v>485</v>
      </c>
      <c r="C403" s="63"/>
      <c r="D403" s="64">
        <v>32</v>
      </c>
      <c r="E403" s="64">
        <v>2</v>
      </c>
      <c r="F403" s="173"/>
      <c r="G403" s="61">
        <v>120105</v>
      </c>
      <c r="H403" s="62" t="s">
        <v>388</v>
      </c>
      <c r="I403" s="63"/>
      <c r="J403" s="157"/>
      <c r="K403" s="64">
        <v>1</v>
      </c>
    </row>
    <row r="404" spans="1:11" ht="108" customHeight="1" x14ac:dyDescent="1.9">
      <c r="A404" s="61">
        <v>136690</v>
      </c>
      <c r="B404" s="62" t="s">
        <v>486</v>
      </c>
      <c r="C404" s="63"/>
      <c r="D404" s="64">
        <v>65</v>
      </c>
      <c r="E404" s="64">
        <v>2</v>
      </c>
      <c r="F404" s="173"/>
      <c r="G404" s="61">
        <v>120108</v>
      </c>
      <c r="H404" s="62" t="s">
        <v>389</v>
      </c>
      <c r="I404" s="63"/>
      <c r="J404" s="157"/>
      <c r="K404" s="64">
        <v>1</v>
      </c>
    </row>
    <row r="405" spans="1:11" ht="108" customHeight="1" x14ac:dyDescent="1.9">
      <c r="A405" s="61">
        <v>120207</v>
      </c>
      <c r="B405" s="62" t="s">
        <v>487</v>
      </c>
      <c r="C405" s="63"/>
      <c r="D405" s="64">
        <v>50</v>
      </c>
      <c r="E405" s="64">
        <v>6</v>
      </c>
      <c r="F405" s="173"/>
      <c r="G405" s="61">
        <v>56495</v>
      </c>
      <c r="H405" s="62" t="s">
        <v>298</v>
      </c>
      <c r="I405" s="63"/>
      <c r="J405" s="157"/>
      <c r="K405" s="64">
        <v>1</v>
      </c>
    </row>
    <row r="406" spans="1:11" ht="108" customHeight="1" x14ac:dyDescent="1.9">
      <c r="A406" s="61">
        <v>136730</v>
      </c>
      <c r="B406" s="62" t="s">
        <v>488</v>
      </c>
      <c r="C406" s="63"/>
      <c r="D406" s="64">
        <v>65</v>
      </c>
      <c r="E406" s="64">
        <v>2</v>
      </c>
      <c r="F406" s="173"/>
      <c r="G406" s="61">
        <v>56496</v>
      </c>
      <c r="H406" s="62" t="s">
        <v>299</v>
      </c>
      <c r="I406" s="63"/>
      <c r="J406" s="157"/>
      <c r="K406" s="64">
        <v>1</v>
      </c>
    </row>
    <row r="407" spans="1:11" ht="108" customHeight="1" x14ac:dyDescent="1.9">
      <c r="A407" s="61">
        <v>56841</v>
      </c>
      <c r="B407" s="62" t="s">
        <v>489</v>
      </c>
      <c r="C407" s="63">
        <v>204</v>
      </c>
      <c r="D407" s="64">
        <v>34</v>
      </c>
      <c r="E407" s="64">
        <v>6</v>
      </c>
      <c r="F407" s="173"/>
      <c r="G407" s="61">
        <v>56552</v>
      </c>
      <c r="H407" s="62" t="s">
        <v>283</v>
      </c>
      <c r="I407" s="26"/>
      <c r="J407" s="165"/>
      <c r="K407" s="64">
        <v>1</v>
      </c>
    </row>
    <row r="408" spans="1:11" ht="108" customHeight="1" x14ac:dyDescent="1.9">
      <c r="A408" s="61">
        <v>56842</v>
      </c>
      <c r="B408" s="62" t="s">
        <v>490</v>
      </c>
      <c r="C408" s="63">
        <v>204</v>
      </c>
      <c r="D408" s="64">
        <v>34</v>
      </c>
      <c r="E408" s="64">
        <v>6</v>
      </c>
      <c r="F408" s="173"/>
      <c r="G408" s="61">
        <v>56573</v>
      </c>
      <c r="H408" s="62" t="s">
        <v>340</v>
      </c>
      <c r="I408" s="26"/>
      <c r="J408" s="165"/>
      <c r="K408" s="64">
        <v>1</v>
      </c>
    </row>
    <row r="409" spans="1:11" ht="108" customHeight="1" x14ac:dyDescent="1.9">
      <c r="A409" s="61"/>
      <c r="B409" s="62"/>
      <c r="C409" s="63"/>
      <c r="D409" s="64"/>
      <c r="E409" s="64">
        <v>1</v>
      </c>
      <c r="F409" s="173"/>
      <c r="G409" s="61">
        <v>56518</v>
      </c>
      <c r="H409" s="62" t="s">
        <v>304</v>
      </c>
      <c r="I409" s="26"/>
      <c r="J409" s="165"/>
      <c r="K409" s="64">
        <v>1</v>
      </c>
    </row>
    <row r="410" spans="1:11" ht="108" customHeight="1" x14ac:dyDescent="1.9">
      <c r="A410" s="61"/>
      <c r="B410" s="62"/>
      <c r="C410" s="63"/>
      <c r="D410" s="64"/>
      <c r="E410" s="64">
        <v>1</v>
      </c>
      <c r="F410" s="173"/>
      <c r="G410" s="61">
        <v>56553</v>
      </c>
      <c r="H410" s="62" t="s">
        <v>308</v>
      </c>
      <c r="I410" s="26"/>
      <c r="J410" s="165"/>
      <c r="K410" s="64">
        <v>1</v>
      </c>
    </row>
    <row r="411" spans="1:11" ht="108" customHeight="1" x14ac:dyDescent="1.9">
      <c r="A411" s="61"/>
      <c r="B411" s="62"/>
      <c r="C411" s="63"/>
      <c r="D411" s="64"/>
      <c r="E411" s="64">
        <v>1</v>
      </c>
      <c r="F411" s="173"/>
      <c r="G411" s="61">
        <v>56554</v>
      </c>
      <c r="H411" s="62" t="s">
        <v>332</v>
      </c>
      <c r="I411" s="26"/>
      <c r="J411" s="165"/>
      <c r="K411" s="64">
        <v>1</v>
      </c>
    </row>
    <row r="412" spans="1:11" ht="108" customHeight="1" x14ac:dyDescent="1.9">
      <c r="A412" s="61"/>
      <c r="B412" s="62"/>
      <c r="C412" s="63"/>
      <c r="D412" s="64"/>
      <c r="E412" s="64">
        <v>1</v>
      </c>
      <c r="F412" s="173"/>
      <c r="G412" s="61">
        <v>56589</v>
      </c>
      <c r="H412" s="62" t="s">
        <v>336</v>
      </c>
      <c r="I412" s="26"/>
      <c r="J412" s="165"/>
      <c r="K412" s="64">
        <v>1</v>
      </c>
    </row>
    <row r="413" spans="1:11" ht="108" customHeight="1" x14ac:dyDescent="1.9">
      <c r="A413" s="61"/>
      <c r="B413" s="62"/>
      <c r="C413" s="63"/>
      <c r="D413" s="64"/>
      <c r="E413" s="64">
        <v>1</v>
      </c>
      <c r="F413" s="173"/>
      <c r="G413" s="61">
        <v>56643</v>
      </c>
      <c r="H413" s="62" t="s">
        <v>337</v>
      </c>
      <c r="I413" s="26"/>
      <c r="J413" s="165"/>
      <c r="K413" s="64">
        <v>1</v>
      </c>
    </row>
    <row r="414" spans="1:11" ht="108" customHeight="1" x14ac:dyDescent="1.9">
      <c r="A414" s="61"/>
      <c r="B414" s="62"/>
      <c r="C414" s="63"/>
      <c r="D414" s="64"/>
      <c r="E414" s="64">
        <v>12</v>
      </c>
      <c r="F414" s="173"/>
      <c r="G414" s="61">
        <v>56574</v>
      </c>
      <c r="H414" s="62" t="s">
        <v>341</v>
      </c>
      <c r="I414" s="26"/>
      <c r="J414" s="165"/>
      <c r="K414" s="64">
        <v>12</v>
      </c>
    </row>
    <row r="415" spans="1:11" ht="108" customHeight="1" x14ac:dyDescent="1.9">
      <c r="A415" s="61"/>
      <c r="B415" s="62"/>
      <c r="C415" s="63"/>
      <c r="D415" s="64"/>
      <c r="E415" s="64">
        <v>1</v>
      </c>
      <c r="F415" s="173"/>
      <c r="G415" s="59">
        <v>56575</v>
      </c>
      <c r="H415" s="11" t="s">
        <v>342</v>
      </c>
      <c r="I415" s="26"/>
      <c r="J415" s="161"/>
      <c r="K415" s="64">
        <v>1</v>
      </c>
    </row>
    <row r="416" spans="1:11" ht="108" customHeight="1" x14ac:dyDescent="1.9">
      <c r="A416" s="61"/>
      <c r="B416" s="62"/>
      <c r="C416" s="63"/>
      <c r="D416" s="64"/>
      <c r="E416" s="64">
        <v>1</v>
      </c>
      <c r="F416" s="173"/>
      <c r="G416" s="59">
        <v>56576</v>
      </c>
      <c r="H416" s="11" t="s">
        <v>343</v>
      </c>
      <c r="I416" s="26"/>
      <c r="J416" s="161"/>
      <c r="K416" s="64">
        <v>1</v>
      </c>
    </row>
    <row r="417" spans="1:11" ht="108" customHeight="1" x14ac:dyDescent="1.9">
      <c r="A417" s="61"/>
      <c r="B417" s="62"/>
      <c r="C417" s="63"/>
      <c r="D417" s="64"/>
      <c r="E417" s="64">
        <v>1</v>
      </c>
      <c r="F417" s="173"/>
      <c r="G417" s="59">
        <v>56585</v>
      </c>
      <c r="H417" s="11" t="s">
        <v>346</v>
      </c>
      <c r="I417" s="26"/>
      <c r="J417" s="161"/>
      <c r="K417" s="64">
        <v>1</v>
      </c>
    </row>
    <row r="418" spans="1:11" ht="108" customHeight="1" x14ac:dyDescent="1.9">
      <c r="A418" s="61">
        <v>56781</v>
      </c>
      <c r="B418" s="62" t="s">
        <v>481</v>
      </c>
      <c r="C418" s="63"/>
      <c r="D418" s="64">
        <v>26</v>
      </c>
      <c r="E418" s="64">
        <v>6</v>
      </c>
      <c r="F418" s="173"/>
      <c r="G418" s="59">
        <v>56670</v>
      </c>
      <c r="H418" s="11" t="s">
        <v>373</v>
      </c>
      <c r="I418" s="26"/>
      <c r="J418" s="161"/>
      <c r="K418" s="64">
        <v>1</v>
      </c>
    </row>
    <row r="419" spans="1:11" ht="108" customHeight="1" x14ac:dyDescent="1.9">
      <c r="A419" s="61">
        <v>56751</v>
      </c>
      <c r="B419" s="62" t="s">
        <v>482</v>
      </c>
      <c r="C419" s="63"/>
      <c r="D419" s="64">
        <v>22</v>
      </c>
      <c r="E419" s="64">
        <v>12</v>
      </c>
      <c r="F419" s="173"/>
      <c r="G419" s="59">
        <v>56586</v>
      </c>
      <c r="H419" s="11" t="s">
        <v>348</v>
      </c>
      <c r="I419" s="26"/>
      <c r="J419" s="161"/>
      <c r="K419" s="64">
        <v>1</v>
      </c>
    </row>
    <row r="420" spans="1:11" ht="108" customHeight="1" x14ac:dyDescent="1.9">
      <c r="A420" s="61">
        <v>136656</v>
      </c>
      <c r="B420" s="62" t="s">
        <v>483</v>
      </c>
      <c r="C420" s="63"/>
      <c r="D420" s="64">
        <v>26</v>
      </c>
      <c r="E420" s="64">
        <v>6</v>
      </c>
      <c r="F420" s="173"/>
      <c r="G420" s="59">
        <v>92789</v>
      </c>
      <c r="H420" s="11" t="s">
        <v>349</v>
      </c>
      <c r="I420" s="26"/>
      <c r="J420" s="161"/>
      <c r="K420" s="64">
        <v>1</v>
      </c>
    </row>
    <row r="421" spans="1:11" ht="108" customHeight="1" x14ac:dyDescent="1.9">
      <c r="A421" s="61">
        <v>120025</v>
      </c>
      <c r="B421" s="62" t="s">
        <v>484</v>
      </c>
      <c r="C421" s="63"/>
      <c r="D421" s="64">
        <v>50</v>
      </c>
      <c r="E421" s="64">
        <v>1</v>
      </c>
      <c r="F421" s="173"/>
      <c r="G421" s="61">
        <v>120058</v>
      </c>
      <c r="H421" s="62" t="s">
        <v>350</v>
      </c>
      <c r="I421" s="26"/>
      <c r="J421" s="165"/>
      <c r="K421" s="64">
        <v>1</v>
      </c>
    </row>
    <row r="422" spans="1:11" ht="108" customHeight="1" x14ac:dyDescent="1.65">
      <c r="A422" s="55" t="s">
        <v>0</v>
      </c>
      <c r="B422" s="55" t="s">
        <v>1</v>
      </c>
      <c r="C422" s="56" t="s">
        <v>114</v>
      </c>
      <c r="D422" s="57" t="s">
        <v>115</v>
      </c>
      <c r="E422" s="57"/>
      <c r="F422" s="170"/>
      <c r="G422" s="55" t="s">
        <v>0</v>
      </c>
      <c r="H422" s="55" t="s">
        <v>1</v>
      </c>
      <c r="I422" s="56" t="s">
        <v>114</v>
      </c>
      <c r="J422" s="158" t="s">
        <v>115</v>
      </c>
      <c r="K422" s="57"/>
    </row>
    <row r="423" spans="1:11" ht="108" customHeight="1" x14ac:dyDescent="1.9">
      <c r="A423" s="61">
        <v>136468</v>
      </c>
      <c r="B423" s="62" t="s">
        <v>428</v>
      </c>
      <c r="C423" s="63"/>
      <c r="D423" s="64">
        <v>30</v>
      </c>
      <c r="E423" s="64">
        <v>1</v>
      </c>
      <c r="F423" s="173"/>
      <c r="G423" s="61">
        <v>136468</v>
      </c>
      <c r="H423" s="62" t="s">
        <v>428</v>
      </c>
      <c r="I423" s="26"/>
      <c r="J423" s="35"/>
      <c r="K423" s="64">
        <v>1</v>
      </c>
    </row>
    <row r="424" spans="1:11" ht="108" customHeight="1" x14ac:dyDescent="1.9">
      <c r="A424" s="61">
        <v>136478</v>
      </c>
      <c r="B424" s="62" t="s">
        <v>429</v>
      </c>
      <c r="C424" s="63"/>
      <c r="D424" s="64">
        <v>24</v>
      </c>
      <c r="E424" s="64">
        <v>1</v>
      </c>
      <c r="F424" s="173"/>
      <c r="G424" s="61">
        <v>136478</v>
      </c>
      <c r="H424" s="62" t="s">
        <v>429</v>
      </c>
      <c r="I424" s="26"/>
      <c r="J424" s="35"/>
      <c r="K424" s="64">
        <v>1</v>
      </c>
    </row>
    <row r="425" spans="1:11" ht="108" customHeight="1" x14ac:dyDescent="1.9">
      <c r="A425" s="61">
        <v>136479</v>
      </c>
      <c r="B425" s="62" t="s">
        <v>430</v>
      </c>
      <c r="C425" s="63"/>
      <c r="D425" s="64">
        <v>24</v>
      </c>
      <c r="E425" s="64">
        <v>1</v>
      </c>
      <c r="F425" s="173"/>
      <c r="G425" s="61">
        <v>136479</v>
      </c>
      <c r="H425" s="62" t="s">
        <v>430</v>
      </c>
      <c r="I425" s="26"/>
      <c r="J425" s="35"/>
      <c r="K425" s="64">
        <v>1</v>
      </c>
    </row>
    <row r="426" spans="1:11" ht="108" customHeight="1" x14ac:dyDescent="1.9">
      <c r="A426" s="61">
        <v>136701</v>
      </c>
      <c r="B426" s="62" t="s">
        <v>456</v>
      </c>
      <c r="C426" s="63"/>
      <c r="D426" s="64">
        <v>18</v>
      </c>
      <c r="E426" s="64">
        <v>1</v>
      </c>
      <c r="F426" s="173"/>
      <c r="G426" s="61">
        <v>136484</v>
      </c>
      <c r="H426" s="62" t="s">
        <v>456</v>
      </c>
      <c r="I426" s="26"/>
      <c r="J426" s="35"/>
      <c r="K426" s="64">
        <v>1</v>
      </c>
    </row>
    <row r="427" spans="1:11" ht="108" customHeight="1" x14ac:dyDescent="1.9">
      <c r="A427" s="61">
        <v>136700</v>
      </c>
      <c r="B427" s="62" t="s">
        <v>457</v>
      </c>
      <c r="C427" s="63"/>
      <c r="D427" s="64">
        <v>18</v>
      </c>
      <c r="E427" s="64">
        <v>1</v>
      </c>
      <c r="F427" s="173"/>
      <c r="G427" s="61">
        <v>136485</v>
      </c>
      <c r="H427" s="62" t="s">
        <v>457</v>
      </c>
      <c r="I427" s="26"/>
      <c r="J427" s="35"/>
      <c r="K427" s="64">
        <v>1</v>
      </c>
    </row>
    <row r="428" spans="1:11" ht="108" customHeight="1" x14ac:dyDescent="1.9">
      <c r="A428" s="61">
        <v>136487</v>
      </c>
      <c r="B428" s="62" t="s">
        <v>458</v>
      </c>
      <c r="C428" s="63"/>
      <c r="D428" s="64">
        <v>24</v>
      </c>
      <c r="E428" s="64">
        <v>1</v>
      </c>
      <c r="F428" s="173"/>
      <c r="G428" s="61">
        <v>136487</v>
      </c>
      <c r="H428" s="62" t="s">
        <v>458</v>
      </c>
      <c r="I428" s="26"/>
      <c r="J428" s="35"/>
      <c r="K428" s="64">
        <v>1</v>
      </c>
    </row>
    <row r="429" spans="1:11" ht="108" customHeight="1" x14ac:dyDescent="1.9">
      <c r="A429" s="61">
        <v>136712</v>
      </c>
      <c r="B429" s="62" t="s">
        <v>459</v>
      </c>
      <c r="C429" s="63"/>
      <c r="D429" s="64">
        <v>21</v>
      </c>
      <c r="E429" s="64">
        <v>1</v>
      </c>
      <c r="F429" s="173"/>
      <c r="G429" s="61">
        <v>136712</v>
      </c>
      <c r="H429" s="62" t="s">
        <v>459</v>
      </c>
      <c r="I429" s="26"/>
      <c r="J429" s="35"/>
      <c r="K429" s="64">
        <v>1</v>
      </c>
    </row>
    <row r="430" spans="1:11" ht="108" customHeight="1" x14ac:dyDescent="1.9">
      <c r="A430" s="61"/>
      <c r="B430" s="62"/>
      <c r="C430" s="63"/>
      <c r="D430" s="64"/>
      <c r="E430" s="64">
        <v>1</v>
      </c>
      <c r="F430" s="173"/>
      <c r="G430" s="61">
        <v>136533</v>
      </c>
      <c r="H430" s="62" t="s">
        <v>460</v>
      </c>
      <c r="I430" s="26"/>
      <c r="J430" s="35"/>
      <c r="K430" s="64">
        <v>1</v>
      </c>
    </row>
    <row r="431" spans="1:11" ht="108" customHeight="1" x14ac:dyDescent="1.9">
      <c r="A431" s="61"/>
      <c r="B431" s="62"/>
      <c r="C431" s="63"/>
      <c r="D431" s="64"/>
      <c r="E431" s="64">
        <v>1</v>
      </c>
      <c r="F431" s="173"/>
      <c r="G431" s="61">
        <v>136669</v>
      </c>
      <c r="H431" s="62" t="s">
        <v>461</v>
      </c>
      <c r="I431" s="26"/>
      <c r="J431" s="35"/>
      <c r="K431" s="64">
        <v>1</v>
      </c>
    </row>
    <row r="432" spans="1:11" ht="108" customHeight="1" x14ac:dyDescent="1.9">
      <c r="A432" s="61"/>
      <c r="B432" s="62"/>
      <c r="C432" s="63"/>
      <c r="D432" s="64"/>
      <c r="E432" s="64">
        <v>1</v>
      </c>
      <c r="F432" s="173"/>
      <c r="G432" s="61">
        <v>136671</v>
      </c>
      <c r="H432" s="62" t="s">
        <v>462</v>
      </c>
      <c r="I432" s="26"/>
      <c r="J432" s="35"/>
      <c r="K432" s="64">
        <v>1</v>
      </c>
    </row>
    <row r="433" spans="1:11" ht="108" customHeight="1" x14ac:dyDescent="1.9">
      <c r="A433" s="61">
        <v>136475</v>
      </c>
      <c r="B433" s="62" t="s">
        <v>431</v>
      </c>
      <c r="C433" s="63"/>
      <c r="D433" s="64">
        <v>18</v>
      </c>
      <c r="E433" s="64">
        <v>1</v>
      </c>
      <c r="F433" s="173"/>
      <c r="G433" s="61">
        <v>136475</v>
      </c>
      <c r="H433" s="62" t="s">
        <v>431</v>
      </c>
      <c r="I433" s="26"/>
      <c r="J433" s="35"/>
      <c r="K433" s="64">
        <v>1</v>
      </c>
    </row>
    <row r="434" spans="1:11" ht="108" customHeight="1" x14ac:dyDescent="1.9">
      <c r="A434" s="61">
        <v>136675</v>
      </c>
      <c r="B434" s="62" t="s">
        <v>463</v>
      </c>
      <c r="C434" s="63"/>
      <c r="D434" s="64">
        <v>12</v>
      </c>
      <c r="E434" s="64">
        <v>1</v>
      </c>
      <c r="F434" s="173"/>
      <c r="G434" s="61">
        <v>136675</v>
      </c>
      <c r="H434" s="62" t="s">
        <v>463</v>
      </c>
      <c r="I434" s="26"/>
      <c r="J434" s="35"/>
      <c r="K434" s="64">
        <v>1</v>
      </c>
    </row>
    <row r="435" spans="1:11" ht="108" customHeight="1" x14ac:dyDescent="1.9">
      <c r="A435" s="61">
        <v>136623</v>
      </c>
      <c r="B435" s="62" t="s">
        <v>464</v>
      </c>
      <c r="C435" s="63"/>
      <c r="D435" s="64">
        <v>12</v>
      </c>
      <c r="E435" s="64">
        <v>1</v>
      </c>
      <c r="F435" s="173"/>
      <c r="G435" s="61">
        <v>136623</v>
      </c>
      <c r="H435" s="62" t="s">
        <v>464</v>
      </c>
      <c r="I435" s="26"/>
      <c r="J435" s="35"/>
      <c r="K435" s="64">
        <v>1</v>
      </c>
    </row>
    <row r="436" spans="1:11" ht="108" customHeight="1" x14ac:dyDescent="1.9">
      <c r="A436" s="61"/>
      <c r="B436" s="62"/>
      <c r="C436" s="63"/>
      <c r="D436" s="64"/>
      <c r="E436" s="64">
        <v>1</v>
      </c>
      <c r="F436" s="173"/>
      <c r="G436" s="61">
        <v>136469</v>
      </c>
      <c r="H436" s="62" t="s">
        <v>432</v>
      </c>
      <c r="I436" s="26"/>
      <c r="J436" s="35"/>
      <c r="K436" s="64">
        <v>1</v>
      </c>
    </row>
    <row r="437" spans="1:11" ht="108" customHeight="1" x14ac:dyDescent="1.9">
      <c r="A437" s="61">
        <v>136466</v>
      </c>
      <c r="B437" s="62" t="s">
        <v>433</v>
      </c>
      <c r="C437" s="63"/>
      <c r="D437" s="64">
        <v>30</v>
      </c>
      <c r="E437" s="64">
        <v>1</v>
      </c>
      <c r="F437" s="173"/>
      <c r="G437" s="61">
        <v>136466</v>
      </c>
      <c r="H437" s="62" t="s">
        <v>433</v>
      </c>
      <c r="I437" s="26"/>
      <c r="J437" s="35"/>
      <c r="K437" s="64">
        <v>1</v>
      </c>
    </row>
    <row r="438" spans="1:11" ht="108" customHeight="1" x14ac:dyDescent="1.9">
      <c r="A438" s="61">
        <v>136467</v>
      </c>
      <c r="B438" s="62" t="s">
        <v>465</v>
      </c>
      <c r="C438" s="63"/>
      <c r="D438" s="64">
        <v>18</v>
      </c>
      <c r="E438" s="64">
        <v>1</v>
      </c>
      <c r="F438" s="173"/>
      <c r="G438" s="61">
        <v>136467</v>
      </c>
      <c r="H438" s="62" t="s">
        <v>465</v>
      </c>
      <c r="I438" s="26"/>
      <c r="J438" s="35"/>
      <c r="K438" s="64">
        <v>1</v>
      </c>
    </row>
    <row r="439" spans="1:11" ht="108" customHeight="1" x14ac:dyDescent="1.9">
      <c r="A439" s="61">
        <v>136020</v>
      </c>
      <c r="B439" s="62" t="s">
        <v>466</v>
      </c>
      <c r="C439" s="63"/>
      <c r="D439" s="64">
        <v>48</v>
      </c>
      <c r="E439" s="64">
        <v>1</v>
      </c>
      <c r="F439" s="173"/>
      <c r="G439" s="61">
        <v>136020</v>
      </c>
      <c r="H439" s="62" t="s">
        <v>466</v>
      </c>
      <c r="I439" s="26"/>
      <c r="J439" s="35"/>
      <c r="K439" s="64">
        <v>1</v>
      </c>
    </row>
    <row r="440" spans="1:11" ht="108" customHeight="1" x14ac:dyDescent="1.9">
      <c r="A440" s="61">
        <v>136024</v>
      </c>
      <c r="B440" s="62" t="s">
        <v>434</v>
      </c>
      <c r="C440" s="63"/>
      <c r="D440" s="64">
        <v>48</v>
      </c>
      <c r="E440" s="64">
        <v>1</v>
      </c>
      <c r="F440" s="173"/>
      <c r="G440" s="61">
        <v>136024</v>
      </c>
      <c r="H440" s="62" t="s">
        <v>434</v>
      </c>
      <c r="I440" s="26"/>
      <c r="J440" s="35"/>
      <c r="K440" s="64">
        <v>1</v>
      </c>
    </row>
    <row r="441" spans="1:11" ht="108" customHeight="1" x14ac:dyDescent="1.9">
      <c r="A441" s="61">
        <v>136027</v>
      </c>
      <c r="B441" s="62" t="s">
        <v>435</v>
      </c>
      <c r="C441" s="63"/>
      <c r="D441" s="64">
        <v>48</v>
      </c>
      <c r="E441" s="64">
        <v>1</v>
      </c>
      <c r="F441" s="173"/>
      <c r="G441" s="61">
        <v>136027</v>
      </c>
      <c r="H441" s="62" t="s">
        <v>435</v>
      </c>
      <c r="I441" s="26"/>
      <c r="J441" s="35"/>
      <c r="K441" s="64">
        <v>1</v>
      </c>
    </row>
    <row r="442" spans="1:11" ht="108" customHeight="1" x14ac:dyDescent="1.9">
      <c r="A442" s="61"/>
      <c r="B442" s="62"/>
      <c r="C442" s="63"/>
      <c r="D442" s="64"/>
      <c r="E442" s="64">
        <v>1</v>
      </c>
      <c r="F442" s="173"/>
      <c r="G442" s="61">
        <v>136691</v>
      </c>
      <c r="H442" s="62" t="s">
        <v>467</v>
      </c>
      <c r="I442" s="26"/>
      <c r="J442" s="35"/>
      <c r="K442" s="64">
        <v>1</v>
      </c>
    </row>
    <row r="443" spans="1:11" ht="108" customHeight="1" x14ac:dyDescent="1.9">
      <c r="A443" s="61">
        <v>136461</v>
      </c>
      <c r="B443" s="62" t="s">
        <v>468</v>
      </c>
      <c r="C443" s="63"/>
      <c r="D443" s="64">
        <v>54</v>
      </c>
      <c r="E443" s="64">
        <v>1</v>
      </c>
      <c r="F443" s="173"/>
      <c r="G443" s="61">
        <v>136461</v>
      </c>
      <c r="H443" s="62" t="s">
        <v>468</v>
      </c>
      <c r="I443" s="26"/>
      <c r="J443" s="35"/>
      <c r="K443" s="64">
        <v>1</v>
      </c>
    </row>
    <row r="444" spans="1:11" ht="108" customHeight="1" x14ac:dyDescent="1.9">
      <c r="A444" s="61">
        <v>136462</v>
      </c>
      <c r="B444" s="62" t="s">
        <v>469</v>
      </c>
      <c r="C444" s="63"/>
      <c r="D444" s="64">
        <v>54</v>
      </c>
      <c r="E444" s="64">
        <v>1</v>
      </c>
      <c r="F444" s="173"/>
      <c r="G444" s="61">
        <v>136462</v>
      </c>
      <c r="H444" s="62" t="s">
        <v>469</v>
      </c>
      <c r="I444" s="26"/>
      <c r="J444" s="35"/>
      <c r="K444" s="64">
        <v>1</v>
      </c>
    </row>
    <row r="445" spans="1:11" ht="108" customHeight="1" x14ac:dyDescent="1.9">
      <c r="A445" s="61">
        <v>136465</v>
      </c>
      <c r="B445" s="62" t="s">
        <v>470</v>
      </c>
      <c r="C445" s="63"/>
      <c r="D445" s="64">
        <v>54</v>
      </c>
      <c r="E445" s="64">
        <v>1</v>
      </c>
      <c r="F445" s="173"/>
      <c r="G445" s="61">
        <v>136465</v>
      </c>
      <c r="H445" s="62" t="s">
        <v>470</v>
      </c>
      <c r="I445" s="26"/>
      <c r="J445" s="35"/>
      <c r="K445" s="64">
        <v>1</v>
      </c>
    </row>
    <row r="446" spans="1:11" ht="108" customHeight="1" x14ac:dyDescent="1.9">
      <c r="A446" s="61">
        <v>136559</v>
      </c>
      <c r="B446" s="62" t="s">
        <v>471</v>
      </c>
      <c r="C446" s="63"/>
      <c r="D446" s="64">
        <v>30</v>
      </c>
      <c r="E446" s="64">
        <v>1</v>
      </c>
      <c r="F446" s="173"/>
      <c r="G446" s="61">
        <v>136559</v>
      </c>
      <c r="H446" s="62" t="s">
        <v>471</v>
      </c>
      <c r="I446" s="26"/>
      <c r="J446" s="35"/>
      <c r="K446" s="64">
        <v>1</v>
      </c>
    </row>
    <row r="447" spans="1:11" ht="108" customHeight="1" x14ac:dyDescent="1.9">
      <c r="A447" s="61">
        <v>136560</v>
      </c>
      <c r="B447" s="62" t="s">
        <v>472</v>
      </c>
      <c r="C447" s="63"/>
      <c r="D447" s="64">
        <v>30</v>
      </c>
      <c r="E447" s="64">
        <v>1</v>
      </c>
      <c r="F447" s="173"/>
      <c r="G447" s="61">
        <v>136560</v>
      </c>
      <c r="H447" s="62" t="s">
        <v>472</v>
      </c>
      <c r="I447" s="26"/>
      <c r="J447" s="35"/>
      <c r="K447" s="64">
        <v>1</v>
      </c>
    </row>
    <row r="448" spans="1:11" ht="108" customHeight="1" x14ac:dyDescent="1.9">
      <c r="A448" s="61">
        <v>136561</v>
      </c>
      <c r="B448" s="62" t="s">
        <v>473</v>
      </c>
      <c r="C448" s="63"/>
      <c r="D448" s="64">
        <v>30</v>
      </c>
      <c r="E448" s="64">
        <v>1</v>
      </c>
      <c r="F448" s="173"/>
      <c r="G448" s="61">
        <v>136561</v>
      </c>
      <c r="H448" s="62" t="s">
        <v>473</v>
      </c>
      <c r="I448" s="26"/>
      <c r="J448" s="35"/>
      <c r="K448" s="64">
        <v>1</v>
      </c>
    </row>
    <row r="449" spans="1:11" ht="108" customHeight="1" x14ac:dyDescent="1.9">
      <c r="A449" s="61">
        <v>136622</v>
      </c>
      <c r="B449" s="62" t="s">
        <v>474</v>
      </c>
      <c r="C449" s="63"/>
      <c r="D449" s="64">
        <v>12</v>
      </c>
      <c r="E449" s="64">
        <v>1</v>
      </c>
      <c r="F449" s="173"/>
      <c r="G449" s="61">
        <v>136622</v>
      </c>
      <c r="H449" s="62" t="s">
        <v>474</v>
      </c>
      <c r="I449" s="26"/>
      <c r="J449" s="35"/>
      <c r="K449" s="64">
        <v>1</v>
      </c>
    </row>
    <row r="450" spans="1:11" ht="108" customHeight="1" x14ac:dyDescent="1.9">
      <c r="A450" s="61"/>
      <c r="B450" s="62"/>
      <c r="C450" s="63"/>
      <c r="D450" s="64"/>
      <c r="E450" s="64">
        <v>1</v>
      </c>
      <c r="F450" s="173"/>
      <c r="G450" s="61">
        <v>136486</v>
      </c>
      <c r="H450" s="62" t="s">
        <v>475</v>
      </c>
      <c r="I450" s="26"/>
      <c r="J450" s="35"/>
      <c r="K450" s="64">
        <v>1</v>
      </c>
    </row>
    <row r="451" spans="1:11" ht="108" customHeight="1" x14ac:dyDescent="1.9">
      <c r="A451" s="61">
        <v>136474</v>
      </c>
      <c r="B451" s="62" t="s">
        <v>476</v>
      </c>
      <c r="C451" s="63"/>
      <c r="D451" s="64">
        <v>48</v>
      </c>
      <c r="E451" s="64">
        <v>1</v>
      </c>
      <c r="F451" s="173"/>
      <c r="G451" s="61">
        <v>136474</v>
      </c>
      <c r="H451" s="62" t="s">
        <v>476</v>
      </c>
      <c r="I451" s="26"/>
      <c r="J451" s="35"/>
      <c r="K451" s="64">
        <v>1</v>
      </c>
    </row>
    <row r="452" spans="1:11" ht="168" customHeight="1" x14ac:dyDescent="1.7">
      <c r="A452" s="40" t="s">
        <v>0</v>
      </c>
      <c r="B452" s="343" t="s">
        <v>403</v>
      </c>
      <c r="F452" s="184"/>
      <c r="G452" s="6"/>
      <c r="H452" s="6"/>
      <c r="I452" s="40"/>
      <c r="J452" s="38" t="s">
        <v>137</v>
      </c>
      <c r="K452" s="344"/>
    </row>
    <row r="453" spans="1:11" ht="108" customHeight="1" x14ac:dyDescent="1.65">
      <c r="A453" s="118">
        <v>184016</v>
      </c>
      <c r="B453" s="66" t="s">
        <v>56</v>
      </c>
      <c r="C453" s="67">
        <v>45</v>
      </c>
      <c r="D453" s="119">
        <v>9</v>
      </c>
      <c r="E453" s="119">
        <v>30</v>
      </c>
      <c r="F453" s="185"/>
      <c r="G453" s="118">
        <v>184016</v>
      </c>
      <c r="H453" s="66" t="s">
        <v>56</v>
      </c>
      <c r="I453" s="67"/>
      <c r="J453" s="166"/>
      <c r="K453" s="119"/>
    </row>
    <row r="454" spans="1:11" ht="106.8" x14ac:dyDescent="1.65">
      <c r="A454" s="118">
        <v>184025</v>
      </c>
      <c r="B454" s="66" t="s">
        <v>57</v>
      </c>
      <c r="C454" s="67">
        <v>45</v>
      </c>
      <c r="D454" s="119">
        <v>9</v>
      </c>
      <c r="E454" s="119">
        <v>30</v>
      </c>
      <c r="F454" s="185"/>
      <c r="G454" s="118">
        <v>184025</v>
      </c>
      <c r="H454" s="66" t="s">
        <v>57</v>
      </c>
      <c r="I454" s="67"/>
      <c r="J454" s="166"/>
      <c r="K454" s="119"/>
    </row>
    <row r="455" spans="1:11" ht="106.8" x14ac:dyDescent="1.65">
      <c r="A455" s="118"/>
      <c r="B455" s="66"/>
      <c r="C455" s="67"/>
      <c r="D455" s="119"/>
      <c r="E455" s="119">
        <v>30</v>
      </c>
      <c r="F455" s="185"/>
      <c r="G455" s="118"/>
      <c r="H455" s="66"/>
      <c r="I455" s="67"/>
      <c r="J455" s="166"/>
      <c r="K455" s="119"/>
    </row>
    <row r="456" spans="1:11" ht="108" customHeight="1" x14ac:dyDescent="1.65">
      <c r="A456" s="118">
        <v>184026</v>
      </c>
      <c r="B456" s="66" t="s">
        <v>58</v>
      </c>
      <c r="C456" s="67">
        <v>45</v>
      </c>
      <c r="D456" s="119">
        <v>9</v>
      </c>
      <c r="E456" s="119">
        <v>30</v>
      </c>
      <c r="F456" s="185"/>
      <c r="G456" s="118">
        <v>184026</v>
      </c>
      <c r="H456" s="66" t="s">
        <v>58</v>
      </c>
      <c r="I456" s="67"/>
      <c r="J456" s="166"/>
      <c r="K456" s="119"/>
    </row>
    <row r="457" spans="1:11" ht="108" customHeight="1" x14ac:dyDescent="1.65">
      <c r="A457" s="118"/>
      <c r="B457" s="66"/>
      <c r="C457" s="67"/>
      <c r="D457" s="119"/>
      <c r="E457" s="119">
        <v>30</v>
      </c>
      <c r="F457" s="185"/>
      <c r="G457" s="58">
        <v>184040</v>
      </c>
      <c r="H457" s="20" t="s">
        <v>84</v>
      </c>
      <c r="I457" s="28"/>
      <c r="J457" s="167"/>
      <c r="K457" s="37"/>
    </row>
    <row r="458" spans="1:11" ht="106.8" x14ac:dyDescent="1.65">
      <c r="A458" s="118">
        <v>184041</v>
      </c>
      <c r="B458" s="66" t="s">
        <v>85</v>
      </c>
      <c r="C458" s="67">
        <v>45</v>
      </c>
      <c r="D458" s="119">
        <v>9</v>
      </c>
      <c r="E458" s="119">
        <v>30</v>
      </c>
      <c r="F458" s="185"/>
      <c r="G458" s="118">
        <v>184041</v>
      </c>
      <c r="H458" s="66" t="s">
        <v>85</v>
      </c>
      <c r="I458" s="67"/>
      <c r="J458" s="166"/>
      <c r="K458" s="119"/>
    </row>
    <row r="459" spans="1:11" ht="106.8" x14ac:dyDescent="1.65">
      <c r="A459" s="118"/>
      <c r="B459" s="66"/>
      <c r="C459" s="67"/>
      <c r="D459" s="119"/>
      <c r="E459" s="119">
        <v>30</v>
      </c>
      <c r="F459" s="185"/>
      <c r="G459" s="118"/>
      <c r="H459" s="66"/>
      <c r="I459" s="67"/>
      <c r="J459" s="166"/>
      <c r="K459" s="119"/>
    </row>
    <row r="460" spans="1:11" ht="108" customHeight="1" x14ac:dyDescent="1.65">
      <c r="A460" s="4" t="s">
        <v>396</v>
      </c>
      <c r="B460" s="20"/>
      <c r="C460" s="31"/>
      <c r="F460" s="184"/>
      <c r="G460" s="4"/>
      <c r="H460" s="20" t="s">
        <v>12</v>
      </c>
      <c r="I460" s="31"/>
      <c r="J460" s="38"/>
      <c r="K460" s="37"/>
    </row>
    <row r="461" spans="1:11" ht="108" customHeight="1" x14ac:dyDescent="1.65">
      <c r="A461" s="118">
        <v>184017</v>
      </c>
      <c r="B461" s="66" t="s">
        <v>59</v>
      </c>
      <c r="C461" s="67">
        <v>45</v>
      </c>
      <c r="D461" s="119">
        <v>9</v>
      </c>
      <c r="E461" s="119">
        <v>30</v>
      </c>
      <c r="F461" s="185"/>
      <c r="G461" s="118">
        <v>184017</v>
      </c>
      <c r="H461" s="66" t="s">
        <v>59</v>
      </c>
      <c r="I461" s="67"/>
      <c r="J461" s="166"/>
      <c r="K461" s="119"/>
    </row>
    <row r="462" spans="1:11" ht="106.8" x14ac:dyDescent="1.65">
      <c r="A462" s="118">
        <v>184038</v>
      </c>
      <c r="B462" s="66" t="s">
        <v>60</v>
      </c>
      <c r="C462" s="67">
        <v>45</v>
      </c>
      <c r="D462" s="119">
        <v>9</v>
      </c>
      <c r="E462" s="119">
        <v>30</v>
      </c>
      <c r="F462" s="185"/>
      <c r="G462" s="118">
        <v>184038</v>
      </c>
      <c r="H462" s="66" t="s">
        <v>60</v>
      </c>
      <c r="I462" s="67"/>
      <c r="J462" s="166"/>
      <c r="K462" s="119"/>
    </row>
    <row r="463" spans="1:11" ht="106.8" x14ac:dyDescent="1.65">
      <c r="A463" s="118"/>
      <c r="B463" s="66"/>
      <c r="C463" s="67"/>
      <c r="D463" s="119"/>
      <c r="E463" s="119">
        <v>30</v>
      </c>
      <c r="F463" s="185"/>
      <c r="G463" s="2">
        <v>184021</v>
      </c>
      <c r="H463" s="20" t="s">
        <v>61</v>
      </c>
      <c r="I463" s="28"/>
      <c r="J463" s="167"/>
      <c r="K463" s="37"/>
    </row>
    <row r="464" spans="1:11" ht="106.8" x14ac:dyDescent="1.65">
      <c r="A464" s="118">
        <v>183131</v>
      </c>
      <c r="B464" s="66" t="s">
        <v>259</v>
      </c>
      <c r="C464" s="67">
        <v>45</v>
      </c>
      <c r="D464" s="119">
        <v>9</v>
      </c>
      <c r="E464" s="119">
        <v>30</v>
      </c>
      <c r="F464" s="185"/>
      <c r="G464" s="118">
        <v>183131</v>
      </c>
      <c r="H464" s="66" t="s">
        <v>259</v>
      </c>
      <c r="I464" s="67"/>
      <c r="J464" s="166"/>
      <c r="K464" s="119"/>
    </row>
    <row r="465" spans="1:11" ht="106.8" x14ac:dyDescent="1.65">
      <c r="A465" s="118">
        <v>184019</v>
      </c>
      <c r="B465" s="66" t="s">
        <v>62</v>
      </c>
      <c r="C465" s="67">
        <v>45</v>
      </c>
      <c r="D465" s="119">
        <v>9</v>
      </c>
      <c r="E465" s="119">
        <v>30</v>
      </c>
      <c r="F465" s="185"/>
      <c r="G465" s="118">
        <v>184019</v>
      </c>
      <c r="H465" s="66" t="s">
        <v>62</v>
      </c>
      <c r="I465" s="67"/>
      <c r="J465" s="166"/>
      <c r="K465" s="119"/>
    </row>
    <row r="466" spans="1:11" ht="106.8" x14ac:dyDescent="1.65">
      <c r="A466" s="118">
        <v>184020</v>
      </c>
      <c r="B466" s="66" t="s">
        <v>63</v>
      </c>
      <c r="C466" s="67">
        <v>45</v>
      </c>
      <c r="D466" s="119">
        <v>9</v>
      </c>
      <c r="E466" s="119">
        <v>30</v>
      </c>
      <c r="F466" s="185"/>
      <c r="G466" s="118">
        <v>184020</v>
      </c>
      <c r="H466" s="66" t="s">
        <v>63</v>
      </c>
      <c r="I466" s="67"/>
      <c r="J466" s="166"/>
      <c r="K466" s="119"/>
    </row>
    <row r="467" spans="1:11" ht="106.8" x14ac:dyDescent="1.65">
      <c r="A467" s="118">
        <v>184022</v>
      </c>
      <c r="B467" s="66" t="s">
        <v>64</v>
      </c>
      <c r="C467" s="67">
        <v>45</v>
      </c>
      <c r="D467" s="119">
        <v>9</v>
      </c>
      <c r="E467" s="119">
        <v>30</v>
      </c>
      <c r="F467" s="185"/>
      <c r="G467" s="118">
        <v>184022</v>
      </c>
      <c r="H467" s="66" t="s">
        <v>64</v>
      </c>
      <c r="I467" s="67"/>
      <c r="J467" s="166"/>
      <c r="K467" s="119"/>
    </row>
    <row r="468" spans="1:11" ht="106.8" x14ac:dyDescent="1.65">
      <c r="A468" s="118">
        <v>184035</v>
      </c>
      <c r="B468" s="66" t="s">
        <v>65</v>
      </c>
      <c r="C468" s="67">
        <v>45</v>
      </c>
      <c r="D468" s="119">
        <v>9</v>
      </c>
      <c r="E468" s="119">
        <v>30</v>
      </c>
      <c r="F468" s="185"/>
      <c r="G468" s="118">
        <v>184035</v>
      </c>
      <c r="H468" s="66" t="s">
        <v>65</v>
      </c>
      <c r="I468" s="67"/>
      <c r="J468" s="166"/>
      <c r="K468" s="119"/>
    </row>
    <row r="469" spans="1:11" ht="106.8" x14ac:dyDescent="1.65">
      <c r="A469" s="118">
        <v>184030</v>
      </c>
      <c r="B469" s="66" t="s">
        <v>66</v>
      </c>
      <c r="C469" s="67">
        <v>40</v>
      </c>
      <c r="D469" s="119">
        <v>10</v>
      </c>
      <c r="E469" s="119">
        <v>30</v>
      </c>
      <c r="F469" s="185"/>
      <c r="G469" s="118">
        <v>184030</v>
      </c>
      <c r="H469" s="66" t="s">
        <v>66</v>
      </c>
      <c r="I469" s="67"/>
      <c r="J469" s="166"/>
      <c r="K469" s="119"/>
    </row>
    <row r="470" spans="1:11" ht="106.8" x14ac:dyDescent="1.65">
      <c r="A470" s="58" t="s">
        <v>396</v>
      </c>
      <c r="B470" s="20"/>
      <c r="C470" s="28"/>
      <c r="D470" s="122"/>
      <c r="E470" s="122"/>
      <c r="F470" s="185"/>
      <c r="G470" s="58"/>
      <c r="H470" s="20"/>
      <c r="I470" s="28"/>
      <c r="J470" s="168"/>
      <c r="K470" s="122"/>
    </row>
    <row r="471" spans="1:11" ht="106.8" x14ac:dyDescent="1.65">
      <c r="A471" s="118">
        <v>184013</v>
      </c>
      <c r="B471" s="66" t="s">
        <v>67</v>
      </c>
      <c r="C471" s="67">
        <v>8</v>
      </c>
      <c r="D471" s="119">
        <v>1</v>
      </c>
      <c r="E471" s="119">
        <v>1</v>
      </c>
      <c r="F471" s="185"/>
      <c r="G471" s="118">
        <v>184013</v>
      </c>
      <c r="H471" s="66" t="s">
        <v>67</v>
      </c>
      <c r="I471" s="67"/>
      <c r="J471" s="166"/>
      <c r="K471" s="119"/>
    </row>
    <row r="472" spans="1:11" ht="106.8" x14ac:dyDescent="1.65">
      <c r="A472" s="118">
        <v>184002</v>
      </c>
      <c r="B472" s="66" t="s">
        <v>339</v>
      </c>
      <c r="C472" s="67">
        <v>32</v>
      </c>
      <c r="D472" s="119">
        <v>1</v>
      </c>
      <c r="E472" s="119">
        <v>1</v>
      </c>
      <c r="F472" s="185"/>
      <c r="G472" s="118">
        <v>184002</v>
      </c>
      <c r="H472" s="66" t="s">
        <v>339</v>
      </c>
      <c r="I472" s="67"/>
      <c r="J472" s="166"/>
      <c r="K472" s="119"/>
    </row>
    <row r="473" spans="1:11" ht="106.8" x14ac:dyDescent="1.65">
      <c r="A473" s="120" t="s">
        <v>396</v>
      </c>
      <c r="B473" s="20"/>
      <c r="C473" s="31"/>
      <c r="D473" s="121"/>
      <c r="E473" s="121"/>
      <c r="F473" s="184"/>
      <c r="G473" s="4"/>
      <c r="H473" s="20" t="s">
        <v>12</v>
      </c>
      <c r="I473" s="31"/>
      <c r="J473" s="38"/>
      <c r="K473" s="37"/>
    </row>
    <row r="474" spans="1:11" ht="106.8" x14ac:dyDescent="1.65">
      <c r="A474" s="118">
        <v>184008</v>
      </c>
      <c r="B474" s="66" t="s">
        <v>68</v>
      </c>
      <c r="C474" s="67">
        <v>45</v>
      </c>
      <c r="D474" s="119">
        <v>9</v>
      </c>
      <c r="E474" s="119">
        <v>1</v>
      </c>
      <c r="F474" s="185"/>
      <c r="G474" s="118">
        <v>184008</v>
      </c>
      <c r="H474" s="66" t="s">
        <v>68</v>
      </c>
      <c r="I474" s="67"/>
      <c r="J474" s="166"/>
      <c r="K474" s="119"/>
    </row>
    <row r="475" spans="1:11" ht="106.8" x14ac:dyDescent="1.65">
      <c r="A475" s="118">
        <v>184009</v>
      </c>
      <c r="B475" s="66" t="s">
        <v>69</v>
      </c>
      <c r="C475" s="67">
        <v>40</v>
      </c>
      <c r="D475" s="119">
        <v>10</v>
      </c>
      <c r="E475" s="119">
        <v>1</v>
      </c>
      <c r="F475" s="185"/>
      <c r="G475" s="118">
        <v>184009</v>
      </c>
      <c r="H475" s="66" t="s">
        <v>69</v>
      </c>
      <c r="I475" s="67"/>
      <c r="J475" s="166"/>
      <c r="K475" s="119"/>
    </row>
    <row r="476" spans="1:11" ht="106.8" x14ac:dyDescent="1.65">
      <c r="A476" s="4" t="s">
        <v>396</v>
      </c>
      <c r="B476" s="20"/>
      <c r="C476" s="31"/>
      <c r="F476" s="184"/>
      <c r="G476" s="4"/>
      <c r="H476" s="20" t="s">
        <v>12</v>
      </c>
      <c r="I476" s="31"/>
      <c r="J476" s="38"/>
      <c r="K476" s="37"/>
    </row>
    <row r="477" spans="1:11" ht="106.8" x14ac:dyDescent="1.65">
      <c r="A477" s="118">
        <v>184001</v>
      </c>
      <c r="B477" s="66" t="s">
        <v>70</v>
      </c>
      <c r="C477" s="67">
        <v>45</v>
      </c>
      <c r="D477" s="119">
        <v>9</v>
      </c>
      <c r="E477" s="119">
        <v>1</v>
      </c>
      <c r="F477" s="185"/>
      <c r="G477" s="118">
        <v>184001</v>
      </c>
      <c r="H477" s="66" t="s">
        <v>70</v>
      </c>
      <c r="I477" s="67"/>
      <c r="J477" s="166"/>
      <c r="K477" s="119"/>
    </row>
    <row r="478" spans="1:11" ht="106.8" x14ac:dyDescent="1.65">
      <c r="A478" s="118">
        <v>184003</v>
      </c>
      <c r="B478" s="66" t="s">
        <v>71</v>
      </c>
      <c r="C478" s="67">
        <v>45</v>
      </c>
      <c r="D478" s="119">
        <v>9</v>
      </c>
      <c r="E478" s="119">
        <v>1</v>
      </c>
      <c r="F478" s="185"/>
      <c r="G478" s="118">
        <v>184003</v>
      </c>
      <c r="H478" s="66" t="s">
        <v>71</v>
      </c>
      <c r="I478" s="67"/>
      <c r="J478" s="166"/>
      <c r="K478" s="119"/>
    </row>
    <row r="479" spans="1:11" ht="106.8" x14ac:dyDescent="1.65">
      <c r="A479" s="4" t="s">
        <v>396</v>
      </c>
      <c r="B479" s="20"/>
      <c r="C479" s="31"/>
      <c r="F479" s="184"/>
      <c r="G479" s="4"/>
      <c r="H479" s="20" t="s">
        <v>12</v>
      </c>
      <c r="I479" s="31"/>
      <c r="J479" s="38"/>
      <c r="K479" s="37"/>
    </row>
    <row r="480" spans="1:11" ht="106.8" x14ac:dyDescent="1.65">
      <c r="A480" s="118"/>
      <c r="B480" s="66"/>
      <c r="C480" s="67"/>
      <c r="D480" s="119"/>
      <c r="E480" s="119">
        <v>1</v>
      </c>
      <c r="F480" s="185"/>
      <c r="G480" s="2">
        <v>184011</v>
      </c>
      <c r="H480" s="20" t="s">
        <v>72</v>
      </c>
      <c r="I480" s="28"/>
      <c r="J480" s="167"/>
      <c r="K480" s="37"/>
    </row>
    <row r="481" spans="1:11" ht="106.8" x14ac:dyDescent="1.65">
      <c r="A481" s="118">
        <v>197794</v>
      </c>
      <c r="B481" s="66" t="s">
        <v>73</v>
      </c>
      <c r="C481" s="67">
        <v>1</v>
      </c>
      <c r="D481" s="119">
        <v>1</v>
      </c>
      <c r="E481" s="119">
        <v>1</v>
      </c>
      <c r="F481" s="185"/>
      <c r="G481" s="118">
        <v>197794</v>
      </c>
      <c r="H481" s="66" t="s">
        <v>73</v>
      </c>
      <c r="I481" s="67"/>
      <c r="J481" s="166"/>
      <c r="K481" s="119"/>
    </row>
    <row r="482" spans="1:11" ht="106.8" x14ac:dyDescent="1.65">
      <c r="A482" s="118"/>
      <c r="B482" s="66"/>
      <c r="C482" s="67"/>
      <c r="D482" s="119"/>
      <c r="E482" s="119">
        <v>1</v>
      </c>
      <c r="F482" s="185"/>
      <c r="G482" s="2">
        <v>197801</v>
      </c>
      <c r="H482" s="20" t="s">
        <v>87</v>
      </c>
      <c r="I482" s="28"/>
      <c r="J482" s="167"/>
      <c r="K482" s="37"/>
    </row>
    <row r="483" spans="1:11" ht="106.8" x14ac:dyDescent="1.65">
      <c r="A483" s="118">
        <v>197792</v>
      </c>
      <c r="B483" s="66" t="s">
        <v>381</v>
      </c>
      <c r="C483" s="67">
        <v>1</v>
      </c>
      <c r="D483" s="119">
        <v>1</v>
      </c>
      <c r="E483" s="119">
        <v>1</v>
      </c>
      <c r="F483" s="185"/>
      <c r="G483" s="118">
        <v>197792</v>
      </c>
      <c r="H483" s="66" t="s">
        <v>381</v>
      </c>
      <c r="I483" s="67"/>
      <c r="J483" s="166"/>
      <c r="K483" s="119"/>
    </row>
    <row r="484" spans="1:11" ht="106.8" x14ac:dyDescent="1.65">
      <c r="A484" s="4" t="s">
        <v>396</v>
      </c>
      <c r="B484" s="22"/>
      <c r="C484" s="32"/>
      <c r="D484" s="37"/>
      <c r="F484" s="184"/>
      <c r="G484" s="4"/>
      <c r="H484" s="22" t="s">
        <v>12</v>
      </c>
      <c r="I484" s="32"/>
      <c r="J484" s="167"/>
      <c r="K484" s="37"/>
    </row>
    <row r="485" spans="1:11" ht="106.8" x14ac:dyDescent="1.65">
      <c r="A485" s="118">
        <v>197826</v>
      </c>
      <c r="B485" s="66" t="s">
        <v>362</v>
      </c>
      <c r="C485" s="67">
        <v>20</v>
      </c>
      <c r="D485" s="119">
        <v>1</v>
      </c>
      <c r="E485" s="119">
        <v>1</v>
      </c>
      <c r="F485" s="185"/>
      <c r="G485" s="118">
        <v>197826</v>
      </c>
      <c r="H485" s="66" t="s">
        <v>362</v>
      </c>
      <c r="I485" s="67"/>
      <c r="J485" s="166"/>
      <c r="K485" s="119"/>
    </row>
    <row r="486" spans="1:11" ht="106.8" x14ac:dyDescent="1.65">
      <c r="A486" s="118">
        <v>197823</v>
      </c>
      <c r="B486" s="66" t="s">
        <v>360</v>
      </c>
      <c r="C486" s="67">
        <v>20</v>
      </c>
      <c r="D486" s="119">
        <v>1</v>
      </c>
      <c r="E486" s="119">
        <v>1</v>
      </c>
      <c r="F486" s="185"/>
      <c r="G486" s="118">
        <v>197823</v>
      </c>
      <c r="H486" s="66" t="s">
        <v>360</v>
      </c>
      <c r="I486" s="67"/>
      <c r="J486" s="166"/>
      <c r="K486" s="119"/>
    </row>
    <row r="487" spans="1:11" ht="106.8" x14ac:dyDescent="1.65">
      <c r="A487" s="118">
        <v>197815</v>
      </c>
      <c r="B487" s="66" t="s">
        <v>361</v>
      </c>
      <c r="C487" s="67">
        <v>20</v>
      </c>
      <c r="D487" s="119">
        <v>1</v>
      </c>
      <c r="E487" s="119">
        <v>1</v>
      </c>
      <c r="F487" s="185"/>
      <c r="G487" s="118">
        <v>197815</v>
      </c>
      <c r="H487" s="66" t="s">
        <v>361</v>
      </c>
      <c r="I487" s="67"/>
      <c r="J487" s="166"/>
      <c r="K487" s="119"/>
    </row>
    <row r="488" spans="1:11" ht="106.8" x14ac:dyDescent="1.65">
      <c r="A488" s="118">
        <v>197812</v>
      </c>
      <c r="B488" s="66" t="s">
        <v>231</v>
      </c>
      <c r="C488" s="67">
        <v>20</v>
      </c>
      <c r="D488" s="119">
        <v>1</v>
      </c>
      <c r="E488" s="119">
        <v>1</v>
      </c>
      <c r="F488" s="185"/>
      <c r="G488" s="118">
        <v>197812</v>
      </c>
      <c r="H488" s="66" t="s">
        <v>231</v>
      </c>
      <c r="I488" s="67"/>
      <c r="J488" s="166"/>
      <c r="K488" s="119"/>
    </row>
    <row r="489" spans="1:11" ht="106.8" x14ac:dyDescent="1.85">
      <c r="A489" s="2"/>
      <c r="B489" s="20"/>
      <c r="C489" s="28"/>
      <c r="D489" s="37"/>
      <c r="E489" s="37"/>
      <c r="F489" s="185"/>
      <c r="G489" s="18"/>
      <c r="H489" s="3"/>
      <c r="I489" s="3"/>
      <c r="J489" s="169"/>
      <c r="K489" s="3"/>
    </row>
    <row r="490" spans="1:11" x14ac:dyDescent="1.85">
      <c r="A490" s="4"/>
      <c r="B490" s="5"/>
      <c r="C490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AB490"/>
  <sheetViews>
    <sheetView tabSelected="1" zoomScale="15" zoomScaleNormal="15" workbookViewId="0">
      <pane ySplit="1" topLeftCell="A2" activePane="bottomLeft" state="frozen"/>
      <selection pane="bottomLeft" activeCell="U11" sqref="U11"/>
    </sheetView>
  </sheetViews>
  <sheetFormatPr baseColWidth="10" defaultColWidth="11.44140625" defaultRowHeight="102" x14ac:dyDescent="1.85"/>
  <cols>
    <col min="1" max="1" width="90.109375" style="6" bestFit="1" customWidth="1"/>
    <col min="2" max="2" width="254.77734375" style="125" customWidth="1"/>
    <col min="3" max="3" width="50" style="40" customWidth="1"/>
    <col min="4" max="4" width="33.109375" style="38" customWidth="1"/>
    <col min="5" max="5" width="42.5546875" style="19" customWidth="1"/>
    <col min="6" max="12" width="31.77734375" style="210" customWidth="1"/>
    <col min="13" max="16" width="31.88671875" style="210" customWidth="1"/>
    <col min="17" max="18" width="36.77734375" style="210" customWidth="1"/>
    <col min="19" max="20" width="31.88671875" style="210" customWidth="1"/>
    <col min="21" max="21" width="69.5546875" style="361" customWidth="1"/>
    <col min="22" max="22" width="69.5546875" style="367" customWidth="1"/>
    <col min="23" max="23" width="69.5546875" style="368" customWidth="1"/>
    <col min="24" max="24" width="69.5546875" style="139" customWidth="1"/>
    <col min="25" max="26" width="88.88671875" style="214" bestFit="1" customWidth="1"/>
    <col min="27" max="27" width="91" style="214" bestFit="1" customWidth="1"/>
    <col min="28" max="28" width="120.5546875" style="3" bestFit="1" customWidth="1"/>
    <col min="29" max="16384" width="11.44140625" style="1"/>
  </cols>
  <sheetData>
    <row r="1" spans="1:28" s="7" customFormat="1" ht="167.25" customHeight="1" thickBot="1" x14ac:dyDescent="1.75">
      <c r="A1" s="334" t="s">
        <v>0</v>
      </c>
      <c r="B1" s="295" t="s">
        <v>1</v>
      </c>
      <c r="C1" s="296" t="s">
        <v>114</v>
      </c>
      <c r="D1" s="297" t="s">
        <v>115</v>
      </c>
      <c r="E1" s="298" t="s">
        <v>406</v>
      </c>
      <c r="F1" s="408" t="s">
        <v>423</v>
      </c>
      <c r="G1" s="409"/>
      <c r="H1" s="409"/>
      <c r="I1" s="409"/>
      <c r="J1" s="409"/>
      <c r="K1" s="410"/>
      <c r="L1" s="406" t="s">
        <v>409</v>
      </c>
      <c r="M1" s="411"/>
      <c r="N1" s="411"/>
      <c r="O1" s="407"/>
      <c r="P1" s="412" t="s">
        <v>411</v>
      </c>
      <c r="Q1" s="412"/>
      <c r="R1" s="412"/>
      <c r="S1" s="406" t="s">
        <v>410</v>
      </c>
      <c r="T1" s="407"/>
      <c r="U1" s="356" t="s">
        <v>2</v>
      </c>
      <c r="V1" s="363" t="s">
        <v>477</v>
      </c>
      <c r="W1" s="364" t="s">
        <v>418</v>
      </c>
      <c r="X1" s="369" t="s">
        <v>478</v>
      </c>
      <c r="Y1" s="393" t="s">
        <v>480</v>
      </c>
      <c r="Z1" s="299" t="s">
        <v>491</v>
      </c>
      <c r="AA1" s="383" t="s">
        <v>413</v>
      </c>
      <c r="AB1" s="392" t="s">
        <v>479</v>
      </c>
    </row>
    <row r="2" spans="1:28" s="8" customFormat="1" ht="108.6" x14ac:dyDescent="1.95">
      <c r="A2" s="99">
        <f>'MODIFICAR CODIGOS '!A2</f>
        <v>160052</v>
      </c>
      <c r="B2" s="266" t="str">
        <f>'MODIFICAR CODIGOS '!B2</f>
        <v>COCA-COLA 6,5OZ VIR(30)</v>
      </c>
      <c r="C2" s="278">
        <f>'MODIFICAR CODIGOS '!C2</f>
        <v>45</v>
      </c>
      <c r="D2" s="99">
        <f>'MODIFICAR CODIGOS '!D2</f>
        <v>9</v>
      </c>
      <c r="E2" s="285">
        <f>'MODIFICAR CODIGOS '!E2</f>
        <v>30</v>
      </c>
      <c r="F2" s="286"/>
      <c r="G2" s="287"/>
      <c r="H2" s="288"/>
      <c r="I2" s="289">
        <v>2</v>
      </c>
      <c r="J2" s="289"/>
      <c r="K2" s="290"/>
      <c r="L2" s="291"/>
      <c r="M2" s="289"/>
      <c r="N2" s="289"/>
      <c r="O2" s="290"/>
      <c r="P2" s="292"/>
      <c r="Q2" s="289">
        <v>9</v>
      </c>
      <c r="R2" s="293"/>
      <c r="S2" s="291">
        <v>5</v>
      </c>
      <c r="T2" s="290"/>
      <c r="U2" s="357">
        <f t="shared" ref="U2:U60" si="0">(F2*C2+G2*C2+H2*C2+I2*C2+J2*C2+K2*C2+L2*D2+M2*D2+N2*D2+O2*D2+P2*1+Q2*1+R2*1+(TRUNC((S2+T2)/E2)))+(((S2+T2)/E2-TRUNC((S2+T2)/E2))*E2)/100</f>
        <v>99.05</v>
      </c>
      <c r="V2" s="365">
        <f>(F2*C2+G2*C2+H2*C2+I2*C2+J2*C2+K2*C2+L2*D2+M2*D2+N2*D2+O2*D2+P2*1+Q2*1+R2*1+(TRUNC((S2+T2)/E2)))</f>
        <v>99</v>
      </c>
      <c r="W2" s="366">
        <f>(((S2+T2)/E2-TRUNC((S2+T2)/E2))*E2)</f>
        <v>5</v>
      </c>
      <c r="X2" s="362">
        <f>V2+W2/E2</f>
        <v>99.166666666666671</v>
      </c>
      <c r="Y2" s="294">
        <f ca="1">TODAY()</f>
        <v>46104</v>
      </c>
      <c r="Z2" s="370">
        <v>46178</v>
      </c>
      <c r="AA2" s="370">
        <v>46178</v>
      </c>
      <c r="AB2" s="391">
        <f t="shared" ref="AB2:AB23" ca="1" si="1">AA2-Y2</f>
        <v>74</v>
      </c>
    </row>
    <row r="3" spans="1:28" s="8" customFormat="1" ht="107.4" hidden="1" x14ac:dyDescent="1.95">
      <c r="A3" s="72">
        <f>'MODIFICAR CODIGOS '!A3</f>
        <v>0</v>
      </c>
      <c r="B3" s="264">
        <f>'MODIFICAR CODIGOS '!B3</f>
        <v>0</v>
      </c>
      <c r="C3" s="274">
        <f>'MODIFICAR CODIGOS '!C3</f>
        <v>45</v>
      </c>
      <c r="D3" s="72">
        <f>'MODIFICAR CODIGOS '!D3</f>
        <v>9</v>
      </c>
      <c r="E3" s="275">
        <v>1</v>
      </c>
      <c r="F3" s="217"/>
      <c r="G3" s="207"/>
      <c r="H3" s="207"/>
      <c r="I3" s="207"/>
      <c r="J3" s="207"/>
      <c r="K3" s="216"/>
      <c r="L3" s="217"/>
      <c r="M3" s="207"/>
      <c r="N3" s="207"/>
      <c r="O3" s="216"/>
      <c r="P3" s="153"/>
      <c r="Q3" s="207"/>
      <c r="R3" s="152"/>
      <c r="S3" s="217"/>
      <c r="T3" s="216"/>
      <c r="U3" s="357">
        <f t="shared" si="0"/>
        <v>0</v>
      </c>
      <c r="V3" s="365">
        <f t="shared" ref="V3:V66" si="2">(F3*C3+G3*C3+H3*C3+I3*C3+J3*C3+K3*C3+L3*D3+M3*D3+N3*D3+O3*D3+P3*1+Q3*1+R3*1+(TRUNC((S3+T3)/E3)))</f>
        <v>0</v>
      </c>
      <c r="W3" s="366">
        <f t="shared" ref="W3:W66" si="3">(((S3+T3)/E3-TRUNC((S3+T3)/E3))*E3)</f>
        <v>0</v>
      </c>
      <c r="X3" s="362">
        <f t="shared" ref="X3:X60" si="4">V3+W3/E3</f>
        <v>0</v>
      </c>
      <c r="Y3" s="294">
        <f t="shared" ref="Y3:Y60" ca="1" si="5">TODAY()</f>
        <v>46104</v>
      </c>
      <c r="Z3" s="371"/>
      <c r="AA3" s="248"/>
      <c r="AB3" s="391">
        <f t="shared" ca="1" si="1"/>
        <v>-46104</v>
      </c>
    </row>
    <row r="4" spans="1:28" s="7" customFormat="1" ht="108.6" x14ac:dyDescent="1.95">
      <c r="A4" s="72">
        <f>'MODIFICAR CODIGOS '!A4</f>
        <v>56702</v>
      </c>
      <c r="B4" s="264" t="str">
        <f>'MODIFICAR CODIGOS '!B4</f>
        <v>QUATRO TJA 6,5OZ VIR(30)</v>
      </c>
      <c r="C4" s="274">
        <f>'MODIFICAR CODIGOS '!C4</f>
        <v>45</v>
      </c>
      <c r="D4" s="72">
        <f>'MODIFICAR CODIGOS '!D4</f>
        <v>9</v>
      </c>
      <c r="E4" s="275">
        <f>'MODIFICAR CODIGOS '!E4</f>
        <v>30</v>
      </c>
      <c r="F4" s="218"/>
      <c r="G4" s="25"/>
      <c r="H4" s="33"/>
      <c r="I4" s="147">
        <v>1</v>
      </c>
      <c r="J4" s="147"/>
      <c r="K4" s="219"/>
      <c r="L4" s="220"/>
      <c r="M4" s="147"/>
      <c r="N4" s="147"/>
      <c r="O4" s="219"/>
      <c r="P4" s="143"/>
      <c r="Q4" s="147">
        <v>13</v>
      </c>
      <c r="R4" s="141"/>
      <c r="S4" s="220">
        <v>21</v>
      </c>
      <c r="T4" s="219"/>
      <c r="U4" s="357">
        <f t="shared" si="0"/>
        <v>58.21</v>
      </c>
      <c r="V4" s="365">
        <f t="shared" si="2"/>
        <v>58</v>
      </c>
      <c r="W4" s="366">
        <f t="shared" si="3"/>
        <v>21</v>
      </c>
      <c r="X4" s="362">
        <f t="shared" si="4"/>
        <v>58.7</v>
      </c>
      <c r="Y4" s="294">
        <f t="shared" ca="1" si="5"/>
        <v>46104</v>
      </c>
      <c r="Z4" s="371"/>
      <c r="AA4" s="384"/>
      <c r="AB4" s="391">
        <f t="shared" ca="1" si="1"/>
        <v>-46104</v>
      </c>
    </row>
    <row r="5" spans="1:28" s="7" customFormat="1" ht="107.25" hidden="1" customHeight="1" x14ac:dyDescent="1.95">
      <c r="A5" s="72">
        <f>'MODIFICAR CODIGOS '!A5</f>
        <v>0</v>
      </c>
      <c r="B5" s="264">
        <f>'MODIFICAR CODIGOS '!B5</f>
        <v>0</v>
      </c>
      <c r="C5" s="274">
        <f>'MODIFICAR CODIGOS '!C5</f>
        <v>45</v>
      </c>
      <c r="D5" s="72">
        <f>'MODIFICAR CODIGOS '!D5</f>
        <v>9</v>
      </c>
      <c r="E5" s="275">
        <v>1</v>
      </c>
      <c r="F5" s="220"/>
      <c r="G5" s="147"/>
      <c r="H5" s="147"/>
      <c r="I5" s="147"/>
      <c r="J5" s="147"/>
      <c r="K5" s="219"/>
      <c r="L5" s="220"/>
      <c r="M5" s="147"/>
      <c r="N5" s="147"/>
      <c r="O5" s="219"/>
      <c r="P5" s="143"/>
      <c r="Q5" s="147"/>
      <c r="R5" s="141"/>
      <c r="S5" s="220"/>
      <c r="T5" s="219"/>
      <c r="U5" s="357">
        <f t="shared" si="0"/>
        <v>0</v>
      </c>
      <c r="V5" s="365">
        <f t="shared" si="2"/>
        <v>0</v>
      </c>
      <c r="W5" s="366">
        <f t="shared" si="3"/>
        <v>0</v>
      </c>
      <c r="X5" s="362">
        <f t="shared" si="4"/>
        <v>0</v>
      </c>
      <c r="Y5" s="294">
        <f t="shared" ca="1" si="5"/>
        <v>46104</v>
      </c>
      <c r="Z5" s="371"/>
      <c r="AA5" s="249"/>
      <c r="AB5" s="391">
        <f t="shared" ca="1" si="1"/>
        <v>-46104</v>
      </c>
    </row>
    <row r="6" spans="1:28" s="7" customFormat="1" ht="108" customHeight="1" x14ac:dyDescent="1.95">
      <c r="A6" s="72">
        <f>'MODIFICAR CODIGOS '!A6</f>
        <v>160069</v>
      </c>
      <c r="B6" s="264" t="str">
        <f>'MODIFICAR CODIGOS '!B6</f>
        <v>SPRITE LL6,5 OZ</v>
      </c>
      <c r="C6" s="274">
        <f>'MODIFICAR CODIGOS '!C6</f>
        <v>45</v>
      </c>
      <c r="D6" s="72">
        <f>'MODIFICAR CODIGOS '!D6</f>
        <v>9</v>
      </c>
      <c r="E6" s="275">
        <f>'MODIFICAR CODIGOS '!E6</f>
        <v>30</v>
      </c>
      <c r="F6" s="220"/>
      <c r="G6" s="147"/>
      <c r="H6" s="147"/>
      <c r="I6" s="147">
        <v>2</v>
      </c>
      <c r="J6" s="147"/>
      <c r="K6" s="219"/>
      <c r="L6" s="220"/>
      <c r="M6" s="147"/>
      <c r="N6" s="147"/>
      <c r="O6" s="219"/>
      <c r="P6" s="143"/>
      <c r="Q6" s="147">
        <v>7</v>
      </c>
      <c r="R6" s="141"/>
      <c r="S6" s="220">
        <v>8</v>
      </c>
      <c r="T6" s="219"/>
      <c r="U6" s="357">
        <f t="shared" si="0"/>
        <v>97.08</v>
      </c>
      <c r="V6" s="365">
        <f t="shared" si="2"/>
        <v>97</v>
      </c>
      <c r="W6" s="366">
        <f t="shared" si="3"/>
        <v>8</v>
      </c>
      <c r="X6" s="362">
        <f t="shared" si="4"/>
        <v>97.266666666666666</v>
      </c>
      <c r="Y6" s="294">
        <f t="shared" ca="1" si="5"/>
        <v>46104</v>
      </c>
      <c r="Z6" s="371"/>
      <c r="AA6" s="384"/>
      <c r="AB6" s="391">
        <f t="shared" ca="1" si="1"/>
        <v>-46104</v>
      </c>
    </row>
    <row r="7" spans="1:28" s="7" customFormat="1" ht="107.25" hidden="1" customHeight="1" x14ac:dyDescent="1.95">
      <c r="A7" s="72">
        <f>'MODIFICAR CODIGOS '!A7</f>
        <v>0</v>
      </c>
      <c r="B7" s="264">
        <f>'MODIFICAR CODIGOS '!B7</f>
        <v>0</v>
      </c>
      <c r="C7" s="274">
        <f>'MODIFICAR CODIGOS '!C7</f>
        <v>45</v>
      </c>
      <c r="D7" s="72">
        <f>'MODIFICAR CODIGOS '!D7</f>
        <v>9</v>
      </c>
      <c r="E7" s="275">
        <v>1</v>
      </c>
      <c r="F7" s="220"/>
      <c r="G7" s="147"/>
      <c r="H7" s="147"/>
      <c r="I7" s="147"/>
      <c r="J7" s="147"/>
      <c r="K7" s="219"/>
      <c r="L7" s="220"/>
      <c r="M7" s="147"/>
      <c r="N7" s="147"/>
      <c r="O7" s="219"/>
      <c r="P7" s="143"/>
      <c r="Q7" s="147"/>
      <c r="R7" s="141"/>
      <c r="S7" s="220"/>
      <c r="T7" s="219"/>
      <c r="U7" s="357">
        <f t="shared" si="0"/>
        <v>0</v>
      </c>
      <c r="V7" s="365">
        <f t="shared" si="2"/>
        <v>0</v>
      </c>
      <c r="W7" s="366">
        <f t="shared" si="3"/>
        <v>0</v>
      </c>
      <c r="X7" s="362">
        <f t="shared" si="4"/>
        <v>0</v>
      </c>
      <c r="Y7" s="294">
        <f t="shared" ca="1" si="5"/>
        <v>46104</v>
      </c>
      <c r="Z7" s="371"/>
      <c r="AA7" s="249"/>
      <c r="AB7" s="391">
        <f t="shared" ca="1" si="1"/>
        <v>-46104</v>
      </c>
    </row>
    <row r="8" spans="1:28" s="7" customFormat="1" ht="107.25" hidden="1" customHeight="1" x14ac:dyDescent="1.95">
      <c r="A8" s="72">
        <f>'MODIFICAR CODIGOS '!A8</f>
        <v>0</v>
      </c>
      <c r="B8" s="264">
        <f>'MODIFICAR CODIGOS '!B8</f>
        <v>0</v>
      </c>
      <c r="C8" s="274">
        <f>'MODIFICAR CODIGOS '!C8</f>
        <v>45</v>
      </c>
      <c r="D8" s="72">
        <f>'MODIFICAR CODIGOS '!D8</f>
        <v>9</v>
      </c>
      <c r="E8" s="275">
        <v>1</v>
      </c>
      <c r="F8" s="220"/>
      <c r="G8" s="147"/>
      <c r="H8" s="147"/>
      <c r="I8" s="147"/>
      <c r="J8" s="147"/>
      <c r="K8" s="219"/>
      <c r="L8" s="220"/>
      <c r="M8" s="147"/>
      <c r="N8" s="147"/>
      <c r="O8" s="219"/>
      <c r="P8" s="143"/>
      <c r="Q8" s="147"/>
      <c r="R8" s="141"/>
      <c r="S8" s="220"/>
      <c r="T8" s="219"/>
      <c r="U8" s="357">
        <f t="shared" si="0"/>
        <v>0</v>
      </c>
      <c r="V8" s="365">
        <f t="shared" si="2"/>
        <v>0</v>
      </c>
      <c r="W8" s="366">
        <f t="shared" si="3"/>
        <v>0</v>
      </c>
      <c r="X8" s="362">
        <f t="shared" si="4"/>
        <v>0</v>
      </c>
      <c r="Y8" s="294">
        <f t="shared" ca="1" si="5"/>
        <v>46104</v>
      </c>
      <c r="Z8" s="371"/>
      <c r="AA8" s="249"/>
      <c r="AB8" s="391">
        <f t="shared" ca="1" si="1"/>
        <v>-46104</v>
      </c>
    </row>
    <row r="9" spans="1:28" s="7" customFormat="1" ht="107.4" hidden="1" x14ac:dyDescent="1.95">
      <c r="A9" s="72">
        <f>'MODIFICAR CODIGOS '!A9</f>
        <v>0</v>
      </c>
      <c r="B9" s="264">
        <f>'MODIFICAR CODIGOS '!B9</f>
        <v>0</v>
      </c>
      <c r="C9" s="274">
        <f>'MODIFICAR CODIGOS '!C9</f>
        <v>45</v>
      </c>
      <c r="D9" s="72">
        <f>'MODIFICAR CODIGOS '!D9</f>
        <v>9</v>
      </c>
      <c r="E9" s="275">
        <v>1</v>
      </c>
      <c r="F9" s="220"/>
      <c r="G9" s="147"/>
      <c r="H9" s="147"/>
      <c r="I9" s="147"/>
      <c r="J9" s="147"/>
      <c r="K9" s="219"/>
      <c r="L9" s="220"/>
      <c r="M9" s="147"/>
      <c r="N9" s="147"/>
      <c r="O9" s="219"/>
      <c r="P9" s="143"/>
      <c r="Q9" s="147"/>
      <c r="R9" s="141"/>
      <c r="S9" s="220"/>
      <c r="T9" s="219"/>
      <c r="U9" s="357">
        <f t="shared" si="0"/>
        <v>0</v>
      </c>
      <c r="V9" s="365">
        <f t="shared" si="2"/>
        <v>0</v>
      </c>
      <c r="W9" s="366">
        <f t="shared" si="3"/>
        <v>0</v>
      </c>
      <c r="X9" s="362">
        <f t="shared" si="4"/>
        <v>0</v>
      </c>
      <c r="Y9" s="294">
        <f t="shared" ca="1" si="5"/>
        <v>46104</v>
      </c>
      <c r="Z9" s="371"/>
      <c r="AA9" s="249"/>
      <c r="AB9" s="391">
        <f t="shared" ca="1" si="1"/>
        <v>-46104</v>
      </c>
    </row>
    <row r="10" spans="1:28" s="7" customFormat="1" ht="108" customHeight="1" x14ac:dyDescent="1.95">
      <c r="A10" s="72">
        <f>'MODIFICAR CODIGOS '!A10</f>
        <v>56623</v>
      </c>
      <c r="B10" s="265" t="str">
        <f>'MODIFICAR CODIGOS '!B10</f>
        <v>PREMIO ROJO 250 ML RGB</v>
      </c>
      <c r="C10" s="276">
        <f>'MODIFICAR CODIGOS '!C10</f>
        <v>45</v>
      </c>
      <c r="D10" s="313">
        <f>'MODIFICAR CODIGOS '!D10</f>
        <v>9</v>
      </c>
      <c r="E10" s="275">
        <f>'MODIFICAR CODIGOS '!E10</f>
        <v>30</v>
      </c>
      <c r="F10" s="220"/>
      <c r="G10" s="147"/>
      <c r="H10" s="147"/>
      <c r="I10" s="147"/>
      <c r="J10" s="147"/>
      <c r="K10" s="219"/>
      <c r="L10" s="220"/>
      <c r="M10" s="147"/>
      <c r="N10" s="147"/>
      <c r="O10" s="219"/>
      <c r="P10" s="143"/>
      <c r="Q10" s="147"/>
      <c r="R10" s="141"/>
      <c r="S10" s="220"/>
      <c r="T10" s="219"/>
      <c r="U10" s="357">
        <f t="shared" si="0"/>
        <v>0</v>
      </c>
      <c r="V10" s="365">
        <f t="shared" si="2"/>
        <v>0</v>
      </c>
      <c r="W10" s="366">
        <f t="shared" si="3"/>
        <v>0</v>
      </c>
      <c r="X10" s="362">
        <f>V10+W10/E10</f>
        <v>0</v>
      </c>
      <c r="Y10" s="294">
        <f t="shared" ca="1" si="5"/>
        <v>46104</v>
      </c>
      <c r="Z10" s="371"/>
      <c r="AA10" s="384"/>
      <c r="AB10" s="391">
        <f t="shared" ca="1" si="1"/>
        <v>-46104</v>
      </c>
    </row>
    <row r="11" spans="1:28" s="7" customFormat="1" ht="108" customHeight="1" x14ac:dyDescent="1.95">
      <c r="A11" s="72" t="s">
        <v>396</v>
      </c>
      <c r="B11" s="123"/>
      <c r="C11" s="277"/>
      <c r="D11" s="314"/>
      <c r="E11" s="312"/>
      <c r="F11" s="221"/>
      <c r="G11" s="151"/>
      <c r="H11" s="151"/>
      <c r="I11" s="151"/>
      <c r="J11" s="151"/>
      <c r="K11" s="222"/>
      <c r="L11" s="221"/>
      <c r="M11" s="151"/>
      <c r="N11" s="151"/>
      <c r="O11" s="222"/>
      <c r="P11" s="151"/>
      <c r="Q11" s="151"/>
      <c r="R11" s="151"/>
      <c r="S11" s="221"/>
      <c r="T11" s="222"/>
      <c r="U11" s="357"/>
      <c r="V11" s="365" t="e">
        <f t="shared" si="2"/>
        <v>#DIV/0!</v>
      </c>
      <c r="W11" s="366" t="e">
        <f t="shared" si="3"/>
        <v>#DIV/0!</v>
      </c>
      <c r="X11" s="362"/>
      <c r="Y11" s="294"/>
      <c r="Z11" s="372"/>
      <c r="AA11" s="250"/>
      <c r="AB11" s="391">
        <f t="shared" si="1"/>
        <v>0</v>
      </c>
    </row>
    <row r="12" spans="1:28" s="7" customFormat="1" ht="108" customHeight="1" x14ac:dyDescent="1.95">
      <c r="A12" s="72">
        <f>'MODIFICAR CODIGOS '!A12</f>
        <v>160053</v>
      </c>
      <c r="B12" s="266" t="str">
        <f>'MODIFICAR CODIGOS '!B12</f>
        <v>COCA-COLA 350ML VIR(30)</v>
      </c>
      <c r="C12" s="278">
        <f>'MODIFICAR CODIGOS '!C12</f>
        <v>45</v>
      </c>
      <c r="D12" s="99">
        <f>'MODIFICAR CODIGOS '!D12</f>
        <v>9</v>
      </c>
      <c r="E12" s="275">
        <f>'MODIFICAR CODIGOS '!E12</f>
        <v>30</v>
      </c>
      <c r="F12" s="220"/>
      <c r="G12" s="147"/>
      <c r="H12" s="147"/>
      <c r="I12" s="147"/>
      <c r="J12" s="147"/>
      <c r="K12" s="219"/>
      <c r="L12" s="220"/>
      <c r="M12" s="147"/>
      <c r="N12" s="147"/>
      <c r="O12" s="219"/>
      <c r="P12" s="143"/>
      <c r="Q12" s="147">
        <v>5</v>
      </c>
      <c r="R12" s="141">
        <v>37</v>
      </c>
      <c r="S12" s="220">
        <v>10</v>
      </c>
      <c r="T12" s="219"/>
      <c r="U12" s="357">
        <f t="shared" si="0"/>
        <v>42.1</v>
      </c>
      <c r="V12" s="365">
        <f t="shared" si="2"/>
        <v>42</v>
      </c>
      <c r="W12" s="366">
        <f t="shared" si="3"/>
        <v>10</v>
      </c>
      <c r="X12" s="362">
        <f t="shared" si="4"/>
        <v>42.333333333333336</v>
      </c>
      <c r="Y12" s="294">
        <f t="shared" ca="1" si="5"/>
        <v>46104</v>
      </c>
      <c r="Z12" s="371"/>
      <c r="AA12" s="384"/>
      <c r="AB12" s="391">
        <f t="shared" ca="1" si="1"/>
        <v>-46104</v>
      </c>
    </row>
    <row r="13" spans="1:28" s="7" customFormat="1" ht="108" customHeight="1" x14ac:dyDescent="1.95">
      <c r="A13" s="72">
        <f>'MODIFICAR CODIGOS '!A13</f>
        <v>135763</v>
      </c>
      <c r="B13" s="264" t="str">
        <f>'MODIFICAR CODIGOS '!B13</f>
        <v>COCA COLA ZERO 350 ML VIR</v>
      </c>
      <c r="C13" s="274">
        <f>'MODIFICAR CODIGOS '!C13</f>
        <v>45</v>
      </c>
      <c r="D13" s="72">
        <f>'MODIFICAR CODIGOS '!D13</f>
        <v>9</v>
      </c>
      <c r="E13" s="275">
        <f>'MODIFICAR CODIGOS '!E13</f>
        <v>30</v>
      </c>
      <c r="F13" s="220"/>
      <c r="G13" s="147"/>
      <c r="H13" s="147"/>
      <c r="I13" s="147"/>
      <c r="J13" s="147"/>
      <c r="K13" s="219"/>
      <c r="L13" s="220"/>
      <c r="M13" s="147"/>
      <c r="N13" s="147"/>
      <c r="O13" s="219"/>
      <c r="P13" s="143"/>
      <c r="Q13" s="147">
        <v>18</v>
      </c>
      <c r="R13" s="141"/>
      <c r="S13" s="220">
        <v>24</v>
      </c>
      <c r="T13" s="219"/>
      <c r="U13" s="357">
        <f t="shared" si="0"/>
        <v>18.239999999999998</v>
      </c>
      <c r="V13" s="365">
        <f t="shared" si="2"/>
        <v>18</v>
      </c>
      <c r="W13" s="366">
        <f t="shared" si="3"/>
        <v>24</v>
      </c>
      <c r="X13" s="362">
        <f t="shared" si="4"/>
        <v>18.8</v>
      </c>
      <c r="Y13" s="294">
        <f t="shared" ca="1" si="5"/>
        <v>46104</v>
      </c>
      <c r="Z13" s="371"/>
      <c r="AA13" s="384"/>
      <c r="AB13" s="391">
        <f t="shared" ca="1" si="1"/>
        <v>-46104</v>
      </c>
    </row>
    <row r="14" spans="1:28" s="7" customFormat="1" ht="108" customHeight="1" x14ac:dyDescent="1.95">
      <c r="A14" s="72">
        <f>'MODIFICAR CODIGOS '!A14</f>
        <v>56622</v>
      </c>
      <c r="B14" s="264" t="str">
        <f>'MODIFICAR CODIGOS '!B14</f>
        <v>PREMIO ROJO 350 ML (30)</v>
      </c>
      <c r="C14" s="274">
        <f>'MODIFICAR CODIGOS '!C14</f>
        <v>45</v>
      </c>
      <c r="D14" s="72">
        <f>'MODIFICAR CODIGOS '!D14</f>
        <v>9</v>
      </c>
      <c r="E14" s="275">
        <f>'MODIFICAR CODIGOS '!E14</f>
        <v>30</v>
      </c>
      <c r="F14" s="220"/>
      <c r="G14" s="147"/>
      <c r="H14" s="147"/>
      <c r="I14" s="147"/>
      <c r="J14" s="147"/>
      <c r="K14" s="219"/>
      <c r="L14" s="220"/>
      <c r="M14" s="147"/>
      <c r="N14" s="147"/>
      <c r="O14" s="219"/>
      <c r="P14" s="143"/>
      <c r="Q14" s="147">
        <v>35</v>
      </c>
      <c r="R14" s="141"/>
      <c r="S14" s="220">
        <v>20</v>
      </c>
      <c r="T14" s="219"/>
      <c r="U14" s="357">
        <f t="shared" si="0"/>
        <v>35.200000000000003</v>
      </c>
      <c r="V14" s="365">
        <f t="shared" si="2"/>
        <v>35</v>
      </c>
      <c r="W14" s="366">
        <f t="shared" si="3"/>
        <v>20</v>
      </c>
      <c r="X14" s="362">
        <f t="shared" si="4"/>
        <v>35.666666666666664</v>
      </c>
      <c r="Y14" s="294">
        <f t="shared" ca="1" si="5"/>
        <v>46104</v>
      </c>
      <c r="Z14" s="371"/>
      <c r="AA14" s="384"/>
      <c r="AB14" s="391">
        <f t="shared" ca="1" si="1"/>
        <v>-46104</v>
      </c>
    </row>
    <row r="15" spans="1:28" s="7" customFormat="1" ht="108" customHeight="1" x14ac:dyDescent="1.95">
      <c r="A15" s="72">
        <f>'MODIFICAR CODIGOS '!A15</f>
        <v>56705</v>
      </c>
      <c r="B15" s="264" t="str">
        <f>'MODIFICAR CODIGOS '!B15</f>
        <v>QUATRO TJA 350ML VIR(30)</v>
      </c>
      <c r="C15" s="274">
        <f>'MODIFICAR CODIGOS '!C15</f>
        <v>45</v>
      </c>
      <c r="D15" s="72">
        <f>'MODIFICAR CODIGOS '!D15</f>
        <v>9</v>
      </c>
      <c r="E15" s="275">
        <f>'MODIFICAR CODIGOS '!E15</f>
        <v>30</v>
      </c>
      <c r="F15" s="220"/>
      <c r="G15" s="147"/>
      <c r="H15" s="147"/>
      <c r="I15" s="147"/>
      <c r="J15" s="147"/>
      <c r="K15" s="219"/>
      <c r="L15" s="220"/>
      <c r="M15" s="147"/>
      <c r="N15" s="147"/>
      <c r="O15" s="219"/>
      <c r="P15" s="143"/>
      <c r="Q15" s="147">
        <v>32</v>
      </c>
      <c r="R15" s="141"/>
      <c r="S15" s="220">
        <v>25</v>
      </c>
      <c r="T15" s="219"/>
      <c r="U15" s="357">
        <f t="shared" si="0"/>
        <v>32.25</v>
      </c>
      <c r="V15" s="365">
        <f t="shared" si="2"/>
        <v>32</v>
      </c>
      <c r="W15" s="366">
        <f t="shared" si="3"/>
        <v>25</v>
      </c>
      <c r="X15" s="362">
        <f t="shared" si="4"/>
        <v>32.833333333333336</v>
      </c>
      <c r="Y15" s="294">
        <f t="shared" ca="1" si="5"/>
        <v>46104</v>
      </c>
      <c r="Z15" s="371"/>
      <c r="AA15" s="384"/>
      <c r="AB15" s="391">
        <f t="shared" ca="1" si="1"/>
        <v>-46104</v>
      </c>
    </row>
    <row r="16" spans="1:28" s="7" customFormat="1" ht="108" customHeight="1" x14ac:dyDescent="1.95">
      <c r="A16" s="72">
        <f>'MODIFICAR CODIGOS '!A16</f>
        <v>160070</v>
      </c>
      <c r="B16" s="264" t="str">
        <f>'MODIFICAR CODIGOS '!B16</f>
        <v>SPRITE LL 350ML VIR(30)</v>
      </c>
      <c r="C16" s="274">
        <f>'MODIFICAR CODIGOS '!C16</f>
        <v>45</v>
      </c>
      <c r="D16" s="72">
        <f>'MODIFICAR CODIGOS '!D16</f>
        <v>9</v>
      </c>
      <c r="E16" s="275">
        <f>'MODIFICAR CODIGOS '!E16</f>
        <v>30</v>
      </c>
      <c r="F16" s="220"/>
      <c r="G16" s="147"/>
      <c r="H16" s="147"/>
      <c r="I16" s="147"/>
      <c r="J16" s="147"/>
      <c r="K16" s="219"/>
      <c r="L16" s="220"/>
      <c r="M16" s="147"/>
      <c r="N16" s="147"/>
      <c r="O16" s="219"/>
      <c r="P16" s="143"/>
      <c r="Q16" s="147">
        <v>43</v>
      </c>
      <c r="R16" s="141"/>
      <c r="S16" s="220">
        <v>25</v>
      </c>
      <c r="T16" s="219"/>
      <c r="U16" s="357">
        <f t="shared" si="0"/>
        <v>43.25</v>
      </c>
      <c r="V16" s="365">
        <f t="shared" si="2"/>
        <v>43</v>
      </c>
      <c r="W16" s="366">
        <f t="shared" si="3"/>
        <v>25</v>
      </c>
      <c r="X16" s="362">
        <f t="shared" si="4"/>
        <v>43.833333333333336</v>
      </c>
      <c r="Y16" s="294">
        <f t="shared" ca="1" si="5"/>
        <v>46104</v>
      </c>
      <c r="Z16" s="371"/>
      <c r="AA16" s="384"/>
      <c r="AB16" s="391">
        <f t="shared" ca="1" si="1"/>
        <v>-46104</v>
      </c>
    </row>
    <row r="17" spans="1:28" s="305" customFormat="1" ht="213.6" x14ac:dyDescent="1.95">
      <c r="A17" s="72">
        <f>'MODIFICAR CODIGOS '!A17</f>
        <v>160033</v>
      </c>
      <c r="B17" s="264" t="str">
        <f>'MODIFICAR CODIGOS '!B17</f>
        <v>SCHWEPPES SODA 350 ML VIR (30)</v>
      </c>
      <c r="C17" s="274">
        <f>'MODIFICAR CODIGOS '!C17</f>
        <v>45</v>
      </c>
      <c r="D17" s="72">
        <f>'MODIFICAR CODIGOS '!D17</f>
        <v>9</v>
      </c>
      <c r="E17" s="275">
        <f>'MODIFICAR CODIGOS '!E17</f>
        <v>30</v>
      </c>
      <c r="F17" s="300"/>
      <c r="G17" s="301"/>
      <c r="H17" s="301"/>
      <c r="I17" s="301"/>
      <c r="J17" s="301"/>
      <c r="K17" s="302"/>
      <c r="L17" s="300"/>
      <c r="M17" s="301"/>
      <c r="N17" s="301"/>
      <c r="O17" s="302"/>
      <c r="P17" s="303"/>
      <c r="Q17" s="301">
        <v>3</v>
      </c>
      <c r="R17" s="304"/>
      <c r="S17" s="300">
        <v>9</v>
      </c>
      <c r="T17" s="302"/>
      <c r="U17" s="357">
        <f t="shared" si="0"/>
        <v>3.09</v>
      </c>
      <c r="V17" s="365">
        <f t="shared" si="2"/>
        <v>3</v>
      </c>
      <c r="W17" s="366">
        <f t="shared" si="3"/>
        <v>9</v>
      </c>
      <c r="X17" s="362">
        <f t="shared" si="4"/>
        <v>3.3</v>
      </c>
      <c r="Y17" s="294">
        <f t="shared" ca="1" si="5"/>
        <v>46104</v>
      </c>
      <c r="Z17" s="373"/>
      <c r="AA17" s="385"/>
      <c r="AB17" s="391">
        <f t="shared" ca="1" si="1"/>
        <v>-46104</v>
      </c>
    </row>
    <row r="18" spans="1:28" s="7" customFormat="1" ht="107.4" hidden="1" x14ac:dyDescent="1.95">
      <c r="A18" s="72">
        <f>'MODIFICAR CODIGOS '!A18</f>
        <v>0</v>
      </c>
      <c r="B18" s="264">
        <f>'MODIFICAR CODIGOS '!B18</f>
        <v>0</v>
      </c>
      <c r="C18" s="274">
        <f>'MODIFICAR CODIGOS '!C18</f>
        <v>45</v>
      </c>
      <c r="D18" s="72">
        <f>'MODIFICAR CODIGOS '!D18</f>
        <v>9</v>
      </c>
      <c r="E18" s="275">
        <f>'MODIFICAR CODIGOS '!E18</f>
        <v>30</v>
      </c>
      <c r="F18" s="220"/>
      <c r="G18" s="147"/>
      <c r="H18" s="147"/>
      <c r="I18" s="147"/>
      <c r="J18" s="147"/>
      <c r="K18" s="219"/>
      <c r="L18" s="220"/>
      <c r="M18" s="147"/>
      <c r="N18" s="147"/>
      <c r="O18" s="219"/>
      <c r="P18" s="143"/>
      <c r="Q18" s="147"/>
      <c r="R18" s="141"/>
      <c r="S18" s="220"/>
      <c r="T18" s="219"/>
      <c r="U18" s="357">
        <f t="shared" si="0"/>
        <v>0</v>
      </c>
      <c r="V18" s="365">
        <f t="shared" si="2"/>
        <v>0</v>
      </c>
      <c r="W18" s="366">
        <f t="shared" si="3"/>
        <v>0</v>
      </c>
      <c r="X18" s="362">
        <f t="shared" si="4"/>
        <v>0</v>
      </c>
      <c r="Y18" s="294">
        <f t="shared" ca="1" si="5"/>
        <v>46104</v>
      </c>
      <c r="Z18" s="371"/>
      <c r="AA18" s="249"/>
      <c r="AB18" s="391">
        <f t="shared" ca="1" si="1"/>
        <v>-46104</v>
      </c>
    </row>
    <row r="19" spans="1:28" s="7" customFormat="1" ht="107.25" hidden="1" customHeight="1" x14ac:dyDescent="1.95">
      <c r="A19" s="72">
        <f>'MODIFICAR CODIGOS '!A19</f>
        <v>0</v>
      </c>
      <c r="B19" s="264">
        <f>'MODIFICAR CODIGOS '!B19</f>
        <v>0</v>
      </c>
      <c r="C19" s="274">
        <f>'MODIFICAR CODIGOS '!C19</f>
        <v>45</v>
      </c>
      <c r="D19" s="72">
        <f>'MODIFICAR CODIGOS '!D19</f>
        <v>9</v>
      </c>
      <c r="E19" s="275">
        <f>'MODIFICAR CODIGOS '!E19</f>
        <v>30</v>
      </c>
      <c r="F19" s="220"/>
      <c r="G19" s="147"/>
      <c r="H19" s="147"/>
      <c r="I19" s="147"/>
      <c r="J19" s="147"/>
      <c r="K19" s="219"/>
      <c r="L19" s="220"/>
      <c r="M19" s="147"/>
      <c r="N19" s="147"/>
      <c r="O19" s="219"/>
      <c r="P19" s="143"/>
      <c r="Q19" s="147"/>
      <c r="R19" s="141"/>
      <c r="S19" s="220"/>
      <c r="T19" s="219"/>
      <c r="U19" s="357">
        <f t="shared" si="0"/>
        <v>0</v>
      </c>
      <c r="V19" s="365">
        <f t="shared" si="2"/>
        <v>0</v>
      </c>
      <c r="W19" s="366">
        <f t="shared" si="3"/>
        <v>0</v>
      </c>
      <c r="X19" s="362">
        <f t="shared" si="4"/>
        <v>0</v>
      </c>
      <c r="Y19" s="294">
        <f t="shared" ca="1" si="5"/>
        <v>46104</v>
      </c>
      <c r="Z19" s="371"/>
      <c r="AA19" s="249"/>
      <c r="AB19" s="391">
        <f t="shared" ca="1" si="1"/>
        <v>-46104</v>
      </c>
    </row>
    <row r="20" spans="1:28" s="7" customFormat="1" ht="108" hidden="1" customHeight="1" x14ac:dyDescent="1.95">
      <c r="A20" s="72">
        <f>'MODIFICAR CODIGOS '!A20</f>
        <v>0</v>
      </c>
      <c r="B20" s="264">
        <f>'MODIFICAR CODIGOS '!B20</f>
        <v>0</v>
      </c>
      <c r="C20" s="274">
        <f>'MODIFICAR CODIGOS '!C20</f>
        <v>45</v>
      </c>
      <c r="D20" s="72">
        <f>'MODIFICAR CODIGOS '!D20</f>
        <v>9</v>
      </c>
      <c r="E20" s="275">
        <f>'MODIFICAR CODIGOS '!E20</f>
        <v>30</v>
      </c>
      <c r="F20" s="220"/>
      <c r="G20" s="147"/>
      <c r="H20" s="147"/>
      <c r="I20" s="147"/>
      <c r="J20" s="147"/>
      <c r="K20" s="219"/>
      <c r="L20" s="220"/>
      <c r="M20" s="147"/>
      <c r="N20" s="147"/>
      <c r="O20" s="219"/>
      <c r="P20" s="143"/>
      <c r="Q20" s="147"/>
      <c r="R20" s="141"/>
      <c r="S20" s="220"/>
      <c r="T20" s="219"/>
      <c r="U20" s="357">
        <f t="shared" si="0"/>
        <v>0</v>
      </c>
      <c r="V20" s="365">
        <f t="shared" si="2"/>
        <v>0</v>
      </c>
      <c r="W20" s="366">
        <f t="shared" si="3"/>
        <v>0</v>
      </c>
      <c r="X20" s="362">
        <f t="shared" si="4"/>
        <v>0</v>
      </c>
      <c r="Y20" s="294">
        <f t="shared" ca="1" si="5"/>
        <v>46104</v>
      </c>
      <c r="Z20" s="371"/>
      <c r="AA20" s="249"/>
      <c r="AB20" s="391">
        <f t="shared" ca="1" si="1"/>
        <v>-46104</v>
      </c>
    </row>
    <row r="21" spans="1:28" s="7" customFormat="1" ht="107.25" hidden="1" customHeight="1" x14ac:dyDescent="1.95">
      <c r="A21" s="72">
        <f>'MODIFICAR CODIGOS '!A21</f>
        <v>0</v>
      </c>
      <c r="B21" s="264">
        <f>'MODIFICAR CODIGOS '!B21</f>
        <v>0</v>
      </c>
      <c r="C21" s="274">
        <f>'MODIFICAR CODIGOS '!C21</f>
        <v>45</v>
      </c>
      <c r="D21" s="72">
        <f>'MODIFICAR CODIGOS '!D21</f>
        <v>9</v>
      </c>
      <c r="E21" s="275">
        <f>'MODIFICAR CODIGOS '!E21</f>
        <v>30</v>
      </c>
      <c r="F21" s="220"/>
      <c r="G21" s="147"/>
      <c r="H21" s="147"/>
      <c r="I21" s="147"/>
      <c r="J21" s="147"/>
      <c r="K21" s="219"/>
      <c r="L21" s="220"/>
      <c r="M21" s="147"/>
      <c r="N21" s="147"/>
      <c r="O21" s="219"/>
      <c r="P21" s="143"/>
      <c r="Q21" s="147"/>
      <c r="R21" s="141"/>
      <c r="S21" s="220"/>
      <c r="T21" s="219"/>
      <c r="U21" s="357">
        <f t="shared" si="0"/>
        <v>0</v>
      </c>
      <c r="V21" s="365">
        <f t="shared" si="2"/>
        <v>0</v>
      </c>
      <c r="W21" s="366">
        <f t="shared" si="3"/>
        <v>0</v>
      </c>
      <c r="X21" s="362">
        <f t="shared" si="4"/>
        <v>0</v>
      </c>
      <c r="Y21" s="294">
        <f t="shared" ca="1" si="5"/>
        <v>46104</v>
      </c>
      <c r="Z21" s="371"/>
      <c r="AA21" s="249"/>
      <c r="AB21" s="391">
        <f t="shared" ca="1" si="1"/>
        <v>-46104</v>
      </c>
    </row>
    <row r="22" spans="1:28" s="7" customFormat="1" ht="107.25" hidden="1" customHeight="1" x14ac:dyDescent="1.95">
      <c r="A22" s="72">
        <f>'MODIFICAR CODIGOS '!A22</f>
        <v>0</v>
      </c>
      <c r="B22" s="264">
        <f>'MODIFICAR CODIGOS '!B22</f>
        <v>0</v>
      </c>
      <c r="C22" s="274">
        <f>'MODIFICAR CODIGOS '!C22</f>
        <v>45</v>
      </c>
      <c r="D22" s="72">
        <f>'MODIFICAR CODIGOS '!D22</f>
        <v>9</v>
      </c>
      <c r="E22" s="275">
        <f>'MODIFICAR CODIGOS '!E22</f>
        <v>30</v>
      </c>
      <c r="F22" s="220"/>
      <c r="G22" s="147"/>
      <c r="H22" s="147"/>
      <c r="I22" s="147"/>
      <c r="J22" s="147"/>
      <c r="K22" s="219"/>
      <c r="L22" s="220"/>
      <c r="M22" s="147"/>
      <c r="N22" s="147"/>
      <c r="O22" s="219"/>
      <c r="P22" s="143"/>
      <c r="Q22" s="147"/>
      <c r="R22" s="141"/>
      <c r="S22" s="220"/>
      <c r="T22" s="219"/>
      <c r="U22" s="357">
        <f t="shared" si="0"/>
        <v>0</v>
      </c>
      <c r="V22" s="365">
        <f t="shared" si="2"/>
        <v>0</v>
      </c>
      <c r="W22" s="366">
        <f t="shared" si="3"/>
        <v>0</v>
      </c>
      <c r="X22" s="362">
        <f t="shared" si="4"/>
        <v>0</v>
      </c>
      <c r="Y22" s="294">
        <f t="shared" ca="1" si="5"/>
        <v>46104</v>
      </c>
      <c r="Z22" s="371"/>
      <c r="AA22" s="249"/>
      <c r="AB22" s="391">
        <f t="shared" ca="1" si="1"/>
        <v>-46104</v>
      </c>
    </row>
    <row r="23" spans="1:28" s="7" customFormat="1" ht="107.25" hidden="1" customHeight="1" x14ac:dyDescent="1.95">
      <c r="A23" s="72">
        <f>'MODIFICAR CODIGOS '!A23</f>
        <v>0</v>
      </c>
      <c r="B23" s="264">
        <f>'MODIFICAR CODIGOS '!B23</f>
        <v>0</v>
      </c>
      <c r="C23" s="274">
        <f>'MODIFICAR CODIGOS '!C23</f>
        <v>45</v>
      </c>
      <c r="D23" s="72">
        <f>'MODIFICAR CODIGOS '!D23</f>
        <v>9</v>
      </c>
      <c r="E23" s="275">
        <f>'MODIFICAR CODIGOS '!E23</f>
        <v>30</v>
      </c>
      <c r="F23" s="220"/>
      <c r="G23" s="147"/>
      <c r="H23" s="147"/>
      <c r="I23" s="147"/>
      <c r="J23" s="147"/>
      <c r="K23" s="219"/>
      <c r="L23" s="220"/>
      <c r="M23" s="147"/>
      <c r="N23" s="147"/>
      <c r="O23" s="219"/>
      <c r="P23" s="143"/>
      <c r="Q23" s="147"/>
      <c r="R23" s="141"/>
      <c r="S23" s="220"/>
      <c r="T23" s="219"/>
      <c r="U23" s="357">
        <f t="shared" si="0"/>
        <v>0</v>
      </c>
      <c r="V23" s="365">
        <f t="shared" si="2"/>
        <v>0</v>
      </c>
      <c r="W23" s="366">
        <f t="shared" si="3"/>
        <v>0</v>
      </c>
      <c r="X23" s="362">
        <f t="shared" si="4"/>
        <v>0</v>
      </c>
      <c r="Y23" s="294">
        <f t="shared" ca="1" si="5"/>
        <v>46104</v>
      </c>
      <c r="Z23" s="371"/>
      <c r="AA23" s="249"/>
      <c r="AB23" s="391">
        <f t="shared" ca="1" si="1"/>
        <v>-46104</v>
      </c>
    </row>
    <row r="24" spans="1:28" s="7" customFormat="1" ht="108" customHeight="1" x14ac:dyDescent="1.95">
      <c r="A24" s="72">
        <f>'MODIFICAR CODIGOS '!A24</f>
        <v>135666</v>
      </c>
      <c r="B24" s="264" t="str">
        <f>'MODIFICAR CODIGOS '!B24</f>
        <v>COCA COLA 1.25LT VIR(12)</v>
      </c>
      <c r="C24" s="274">
        <f>'MODIFICAR CODIGOS '!C24</f>
        <v>40</v>
      </c>
      <c r="D24" s="72">
        <f>'MODIFICAR CODIGOS '!D24</f>
        <v>10</v>
      </c>
      <c r="E24" s="275">
        <f>'MODIFICAR CODIGOS '!E24</f>
        <v>12</v>
      </c>
      <c r="F24" s="220"/>
      <c r="G24" s="147"/>
      <c r="H24" s="147"/>
      <c r="I24" s="147">
        <v>1</v>
      </c>
      <c r="J24" s="147"/>
      <c r="K24" s="219"/>
      <c r="L24" s="220"/>
      <c r="M24" s="147"/>
      <c r="N24" s="147"/>
      <c r="O24" s="219"/>
      <c r="P24" s="143"/>
      <c r="Q24" s="147">
        <v>8</v>
      </c>
      <c r="R24" s="141"/>
      <c r="S24" s="220"/>
      <c r="T24" s="219"/>
      <c r="U24" s="357">
        <f t="shared" si="0"/>
        <v>48</v>
      </c>
      <c r="V24" s="365">
        <f t="shared" si="2"/>
        <v>48</v>
      </c>
      <c r="W24" s="366">
        <f t="shared" si="3"/>
        <v>0</v>
      </c>
      <c r="X24" s="362">
        <f t="shared" si="4"/>
        <v>48</v>
      </c>
      <c r="Y24" s="294">
        <f t="shared" ca="1" si="5"/>
        <v>46104</v>
      </c>
      <c r="Z24" s="371"/>
      <c r="AA24" s="384"/>
      <c r="AB24" s="391">
        <f ca="1">AA24-Y24</f>
        <v>-46104</v>
      </c>
    </row>
    <row r="25" spans="1:28" s="7" customFormat="1" ht="107.25" hidden="1" customHeight="1" x14ac:dyDescent="1.95">
      <c r="A25" s="72">
        <f>'MODIFICAR CODIGOS '!A25</f>
        <v>0</v>
      </c>
      <c r="B25" s="264">
        <f>'MODIFICAR CODIGOS '!B25</f>
        <v>0</v>
      </c>
      <c r="C25" s="274">
        <f>'MODIFICAR CODIGOS '!C25</f>
        <v>40</v>
      </c>
      <c r="D25" s="313">
        <f>'MODIFICAR CODIGOS '!D25</f>
        <v>10</v>
      </c>
      <c r="E25" s="275">
        <f>'MODIFICAR CODIGOS '!E25</f>
        <v>12</v>
      </c>
      <c r="F25" s="220"/>
      <c r="G25" s="147"/>
      <c r="H25" s="147"/>
      <c r="I25" s="147"/>
      <c r="J25" s="147"/>
      <c r="K25" s="219"/>
      <c r="L25" s="220"/>
      <c r="M25" s="147"/>
      <c r="N25" s="147"/>
      <c r="O25" s="219"/>
      <c r="P25" s="143"/>
      <c r="Q25" s="147"/>
      <c r="R25" s="141"/>
      <c r="S25" s="220"/>
      <c r="T25" s="219"/>
      <c r="U25" s="357">
        <f t="shared" si="0"/>
        <v>0</v>
      </c>
      <c r="V25" s="365">
        <f t="shared" si="2"/>
        <v>0</v>
      </c>
      <c r="W25" s="366">
        <f t="shared" si="3"/>
        <v>0</v>
      </c>
      <c r="X25" s="362">
        <f t="shared" si="4"/>
        <v>0</v>
      </c>
      <c r="Y25" s="294">
        <f t="shared" ca="1" si="5"/>
        <v>46104</v>
      </c>
      <c r="Z25" s="371"/>
      <c r="AA25" s="249"/>
      <c r="AB25" s="391">
        <f t="shared" ref="AB25:AB88" ca="1" si="6">AA25-Y25</f>
        <v>-46104</v>
      </c>
    </row>
    <row r="26" spans="1:28" s="7" customFormat="1" ht="108" customHeight="1" x14ac:dyDescent="1.95">
      <c r="A26" s="72" t="s">
        <v>396</v>
      </c>
      <c r="B26" s="264"/>
      <c r="C26" s="277"/>
      <c r="D26" s="314"/>
      <c r="E26" s="312"/>
      <c r="F26" s="221"/>
      <c r="G26" s="151"/>
      <c r="H26" s="151"/>
      <c r="I26" s="151"/>
      <c r="J26" s="151"/>
      <c r="K26" s="222"/>
      <c r="L26" s="221"/>
      <c r="M26" s="151"/>
      <c r="N26" s="151"/>
      <c r="O26" s="222"/>
      <c r="P26" s="151"/>
      <c r="Q26" s="151"/>
      <c r="R26" s="151"/>
      <c r="S26" s="221"/>
      <c r="T26" s="222"/>
      <c r="U26" s="357"/>
      <c r="V26" s="365" t="e">
        <f t="shared" si="2"/>
        <v>#DIV/0!</v>
      </c>
      <c r="W26" s="366" t="e">
        <f t="shared" si="3"/>
        <v>#DIV/0!</v>
      </c>
      <c r="X26" s="362"/>
      <c r="Y26" s="294"/>
      <c r="Z26" s="372"/>
      <c r="AA26" s="250"/>
      <c r="AB26" s="391">
        <f t="shared" si="6"/>
        <v>0</v>
      </c>
    </row>
    <row r="27" spans="1:28" s="7" customFormat="1" ht="107.4" x14ac:dyDescent="1.95">
      <c r="A27" s="72">
        <f>'MODIFICAR CODIGOS '!A27</f>
        <v>136159</v>
      </c>
      <c r="B27" s="264" t="str">
        <f>'MODIFICAR CODIGOS '!B27</f>
        <v>COCA-COLA SO 1 LT NR (12)</v>
      </c>
      <c r="C27" s="274">
        <f>'MODIFICAR CODIGOS '!C27</f>
        <v>75</v>
      </c>
      <c r="D27" s="99">
        <f>'MODIFICAR CODIGOS '!D27</f>
        <v>15</v>
      </c>
      <c r="E27" s="275">
        <f>'MODIFICAR CODIGOS '!E27</f>
        <v>12</v>
      </c>
      <c r="F27" s="220"/>
      <c r="G27" s="147"/>
      <c r="H27" s="147"/>
      <c r="I27" s="147">
        <v>1</v>
      </c>
      <c r="J27" s="147"/>
      <c r="K27" s="219"/>
      <c r="L27" s="220"/>
      <c r="M27" s="147"/>
      <c r="N27" s="147"/>
      <c r="O27" s="219"/>
      <c r="P27" s="143"/>
      <c r="Q27" s="147">
        <v>62</v>
      </c>
      <c r="R27" s="141"/>
      <c r="S27" s="220"/>
      <c r="T27" s="219"/>
      <c r="U27" s="357">
        <f t="shared" si="0"/>
        <v>137</v>
      </c>
      <c r="V27" s="365">
        <f t="shared" si="2"/>
        <v>137</v>
      </c>
      <c r="W27" s="366">
        <f t="shared" si="3"/>
        <v>0</v>
      </c>
      <c r="X27" s="362">
        <f t="shared" si="4"/>
        <v>137</v>
      </c>
      <c r="Y27" s="294">
        <f t="shared" ca="1" si="5"/>
        <v>46104</v>
      </c>
      <c r="Z27" s="371"/>
      <c r="AA27" s="384"/>
      <c r="AB27" s="391">
        <f t="shared" ca="1" si="6"/>
        <v>-46104</v>
      </c>
    </row>
    <row r="28" spans="1:28" s="7" customFormat="1" ht="107.4" x14ac:dyDescent="1.95">
      <c r="A28" s="72">
        <f>'MODIFICAR CODIGOS '!A28</f>
        <v>136113</v>
      </c>
      <c r="B28" s="264" t="str">
        <f>'MODIFICAR CODIGOS '!B28</f>
        <v>ESPEJO CCSO 1.5LT PET(12)</v>
      </c>
      <c r="C28" s="274">
        <f>'MODIFICAR CODIGOS '!C28</f>
        <v>65</v>
      </c>
      <c r="D28" s="99">
        <f>'MODIFICAR CODIGOS '!D28</f>
        <v>13</v>
      </c>
      <c r="E28" s="275">
        <f>'MODIFICAR CODIGOS '!E28</f>
        <v>12</v>
      </c>
      <c r="F28" s="220"/>
      <c r="G28" s="147"/>
      <c r="H28" s="147">
        <v>6</v>
      </c>
      <c r="I28" s="147"/>
      <c r="J28" s="147"/>
      <c r="K28" s="219"/>
      <c r="L28" s="220"/>
      <c r="M28" s="147"/>
      <c r="N28" s="147"/>
      <c r="O28" s="219">
        <v>3</v>
      </c>
      <c r="P28" s="143"/>
      <c r="Q28" s="147">
        <v>4</v>
      </c>
      <c r="R28" s="141"/>
      <c r="S28" s="220"/>
      <c r="T28" s="219"/>
      <c r="U28" s="357">
        <f t="shared" si="0"/>
        <v>433</v>
      </c>
      <c r="V28" s="365">
        <f t="shared" si="2"/>
        <v>433</v>
      </c>
      <c r="W28" s="366">
        <f t="shared" si="3"/>
        <v>0</v>
      </c>
      <c r="X28" s="362">
        <f t="shared" si="4"/>
        <v>433</v>
      </c>
      <c r="Y28" s="294">
        <f t="shared" ca="1" si="5"/>
        <v>46104</v>
      </c>
      <c r="Z28" s="371"/>
      <c r="AA28" s="384"/>
      <c r="AB28" s="391">
        <f t="shared" ca="1" si="6"/>
        <v>-46104</v>
      </c>
    </row>
    <row r="29" spans="1:28" s="7" customFormat="1" ht="123" customHeight="1" x14ac:dyDescent="1.95">
      <c r="A29" s="72">
        <f>'MODIFICAR CODIGOS '!A29</f>
        <v>135664</v>
      </c>
      <c r="B29" s="264" t="str">
        <f>'MODIFICAR CODIGOS '!B29</f>
        <v>COCA-COLA 1.5 LT NR (12) Nvo</v>
      </c>
      <c r="C29" s="274">
        <f>'MODIFICAR CODIGOS '!C29</f>
        <v>65</v>
      </c>
      <c r="D29" s="72">
        <f>'MODIFICAR CODIGOS '!D29</f>
        <v>13</v>
      </c>
      <c r="E29" s="275">
        <f>'MODIFICAR CODIGOS '!E29</f>
        <v>12</v>
      </c>
      <c r="F29" s="220"/>
      <c r="G29" s="147"/>
      <c r="H29" s="147"/>
      <c r="I29" s="147"/>
      <c r="J29" s="147"/>
      <c r="K29" s="219"/>
      <c r="L29" s="220"/>
      <c r="M29" s="147"/>
      <c r="N29" s="147"/>
      <c r="O29" s="219"/>
      <c r="P29" s="143"/>
      <c r="Q29" s="147">
        <v>19</v>
      </c>
      <c r="R29" s="141"/>
      <c r="S29" s="220">
        <v>10</v>
      </c>
      <c r="T29" s="219"/>
      <c r="U29" s="357">
        <f t="shared" si="0"/>
        <v>19.100000000000001</v>
      </c>
      <c r="V29" s="365">
        <f t="shared" si="2"/>
        <v>19</v>
      </c>
      <c r="W29" s="366">
        <f t="shared" si="3"/>
        <v>10</v>
      </c>
      <c r="X29" s="362">
        <f t="shared" si="4"/>
        <v>19.833333333333332</v>
      </c>
      <c r="Y29" s="294">
        <f t="shared" ca="1" si="5"/>
        <v>46104</v>
      </c>
      <c r="Z29" s="371"/>
      <c r="AA29" s="384"/>
      <c r="AB29" s="391">
        <f t="shared" ca="1" si="6"/>
        <v>-46104</v>
      </c>
    </row>
    <row r="30" spans="1:28" s="7" customFormat="1" ht="123" customHeight="1" x14ac:dyDescent="1.95">
      <c r="A30" s="72">
        <f>'MODIFICAR CODIGOS '!A30</f>
        <v>135757</v>
      </c>
      <c r="B30" s="264" t="str">
        <f>'MODIFICAR CODIGOS '!B30</f>
        <v>COCA COLA ZERO 1,5 NR (12)</v>
      </c>
      <c r="C30" s="274">
        <f>'MODIFICAR CODIGOS '!C30</f>
        <v>65</v>
      </c>
      <c r="D30" s="72">
        <f>'MODIFICAR CODIGOS '!D30</f>
        <v>13</v>
      </c>
      <c r="E30" s="275">
        <f>'MODIFICAR CODIGOS '!E30</f>
        <v>12</v>
      </c>
      <c r="F30" s="220"/>
      <c r="G30" s="147"/>
      <c r="H30" s="147"/>
      <c r="I30" s="147"/>
      <c r="J30" s="147"/>
      <c r="K30" s="219"/>
      <c r="L30" s="220"/>
      <c r="M30" s="147"/>
      <c r="N30" s="147"/>
      <c r="O30" s="219"/>
      <c r="P30" s="143"/>
      <c r="Q30" s="147">
        <v>8</v>
      </c>
      <c r="R30" s="141"/>
      <c r="S30" s="220">
        <v>10</v>
      </c>
      <c r="T30" s="219"/>
      <c r="U30" s="357">
        <f t="shared" si="0"/>
        <v>8.1</v>
      </c>
      <c r="V30" s="365">
        <f t="shared" si="2"/>
        <v>8</v>
      </c>
      <c r="W30" s="366">
        <f t="shared" si="3"/>
        <v>10</v>
      </c>
      <c r="X30" s="362">
        <f t="shared" si="4"/>
        <v>8.8333333333333339</v>
      </c>
      <c r="Y30" s="294">
        <f t="shared" ca="1" si="5"/>
        <v>46104</v>
      </c>
      <c r="Z30" s="371"/>
      <c r="AA30" s="384"/>
      <c r="AB30" s="391">
        <f t="shared" ca="1" si="6"/>
        <v>-46104</v>
      </c>
    </row>
    <row r="31" spans="1:28" s="7" customFormat="1" ht="123" customHeight="1" x14ac:dyDescent="1.95">
      <c r="A31" s="72">
        <f>'MODIFICAR CODIGOS '!A31</f>
        <v>56651</v>
      </c>
      <c r="B31" s="264" t="str">
        <f>'MODIFICAR CODIGOS '!B31</f>
        <v>PREMIO ROJO 1.5 L</v>
      </c>
      <c r="C31" s="274">
        <f>'MODIFICAR CODIGOS '!C31</f>
        <v>65</v>
      </c>
      <c r="D31" s="72">
        <f>'MODIFICAR CODIGOS '!D31</f>
        <v>13</v>
      </c>
      <c r="E31" s="275">
        <f>'MODIFICAR CODIGOS '!E31</f>
        <v>12</v>
      </c>
      <c r="F31" s="220"/>
      <c r="G31" s="147"/>
      <c r="H31" s="147">
        <v>2</v>
      </c>
      <c r="I31" s="147"/>
      <c r="J31" s="147"/>
      <c r="K31" s="219"/>
      <c r="L31" s="220"/>
      <c r="M31" s="147"/>
      <c r="N31" s="147"/>
      <c r="O31" s="219"/>
      <c r="P31" s="143"/>
      <c r="Q31" s="147"/>
      <c r="R31" s="141"/>
      <c r="S31" s="220"/>
      <c r="T31" s="219"/>
      <c r="U31" s="357">
        <f t="shared" si="0"/>
        <v>130</v>
      </c>
      <c r="V31" s="365">
        <f t="shared" si="2"/>
        <v>130</v>
      </c>
      <c r="W31" s="366">
        <f t="shared" si="3"/>
        <v>0</v>
      </c>
      <c r="X31" s="362">
        <f t="shared" si="4"/>
        <v>130</v>
      </c>
      <c r="Y31" s="294">
        <f t="shared" ca="1" si="5"/>
        <v>46104</v>
      </c>
      <c r="Z31" s="371"/>
      <c r="AA31" s="384"/>
      <c r="AB31" s="391">
        <f t="shared" ca="1" si="6"/>
        <v>-46104</v>
      </c>
    </row>
    <row r="32" spans="1:28" s="7" customFormat="1" ht="123" customHeight="1" x14ac:dyDescent="1.95">
      <c r="A32" s="72">
        <f>'MODIFICAR CODIGOS '!A32</f>
        <v>56709</v>
      </c>
      <c r="B32" s="264" t="str">
        <f>'MODIFICAR CODIGOS '!B32</f>
        <v>QUATRO  1,5LT</v>
      </c>
      <c r="C32" s="274">
        <f>'MODIFICAR CODIGOS '!C32</f>
        <v>65</v>
      </c>
      <c r="D32" s="72">
        <f>'MODIFICAR CODIGOS '!D32</f>
        <v>13</v>
      </c>
      <c r="E32" s="275">
        <f>'MODIFICAR CODIGOS '!E32</f>
        <v>12</v>
      </c>
      <c r="F32" s="220"/>
      <c r="G32" s="147"/>
      <c r="H32" s="147">
        <v>5</v>
      </c>
      <c r="I32" s="147"/>
      <c r="J32" s="147"/>
      <c r="K32" s="219"/>
      <c r="L32" s="220"/>
      <c r="M32" s="147"/>
      <c r="N32" s="147"/>
      <c r="O32" s="219">
        <v>3</v>
      </c>
      <c r="P32" s="143">
        <v>3</v>
      </c>
      <c r="Q32" s="147"/>
      <c r="R32" s="141"/>
      <c r="S32" s="220">
        <v>4</v>
      </c>
      <c r="T32" s="219"/>
      <c r="U32" s="357">
        <f t="shared" si="0"/>
        <v>367.04</v>
      </c>
      <c r="V32" s="365">
        <f t="shared" si="2"/>
        <v>367</v>
      </c>
      <c r="W32" s="366">
        <f t="shared" si="3"/>
        <v>4</v>
      </c>
      <c r="X32" s="362">
        <f t="shared" si="4"/>
        <v>367.33333333333331</v>
      </c>
      <c r="Y32" s="294">
        <f t="shared" ca="1" si="5"/>
        <v>46104</v>
      </c>
      <c r="Z32" s="371"/>
      <c r="AA32" s="384"/>
      <c r="AB32" s="391">
        <f t="shared" ca="1" si="6"/>
        <v>-46104</v>
      </c>
    </row>
    <row r="33" spans="1:28" s="7" customFormat="1" ht="123" customHeight="1" x14ac:dyDescent="1.95">
      <c r="A33" s="72">
        <f>'MODIFICAR CODIGOS '!A33</f>
        <v>160102</v>
      </c>
      <c r="B33" s="264" t="str">
        <f>'MODIFICAR CODIGOS '!B33</f>
        <v>SRITE LIMA LIMON 1,5LT</v>
      </c>
      <c r="C33" s="274">
        <f>'MODIFICAR CODIGOS '!C33</f>
        <v>65</v>
      </c>
      <c r="D33" s="72">
        <f>'MODIFICAR CODIGOS '!D33</f>
        <v>13</v>
      </c>
      <c r="E33" s="275">
        <f>'MODIFICAR CODIGOS '!E33</f>
        <v>12</v>
      </c>
      <c r="F33" s="220"/>
      <c r="G33" s="147"/>
      <c r="H33" s="147"/>
      <c r="I33" s="147"/>
      <c r="J33" s="147"/>
      <c r="K33" s="219"/>
      <c r="L33" s="220"/>
      <c r="M33" s="147"/>
      <c r="N33" s="147"/>
      <c r="O33" s="219">
        <v>4</v>
      </c>
      <c r="P33" s="143"/>
      <c r="Q33" s="147">
        <v>6</v>
      </c>
      <c r="R33" s="141"/>
      <c r="S33" s="220">
        <v>3</v>
      </c>
      <c r="T33" s="219"/>
      <c r="U33" s="357">
        <f t="shared" si="0"/>
        <v>58.03</v>
      </c>
      <c r="V33" s="365">
        <f t="shared" si="2"/>
        <v>58</v>
      </c>
      <c r="W33" s="366">
        <f t="shared" si="3"/>
        <v>3</v>
      </c>
      <c r="X33" s="362">
        <f t="shared" si="4"/>
        <v>58.25</v>
      </c>
      <c r="Y33" s="294">
        <f t="shared" ca="1" si="5"/>
        <v>46104</v>
      </c>
      <c r="Z33" s="371"/>
      <c r="AA33" s="384"/>
      <c r="AB33" s="391">
        <f t="shared" ca="1" si="6"/>
        <v>-46104</v>
      </c>
    </row>
    <row r="34" spans="1:28" s="7" customFormat="1" ht="123" customHeight="1" x14ac:dyDescent="1.95">
      <c r="A34" s="72">
        <f>'MODIFICAR CODIGOS '!A34</f>
        <v>160100</v>
      </c>
      <c r="B34" s="264" t="str">
        <f>'MODIFICAR CODIGOS '!B34</f>
        <v>SCHEPPES GINGER 1,5 LTS</v>
      </c>
      <c r="C34" s="274">
        <f>'MODIFICAR CODIGOS '!C34</f>
        <v>65</v>
      </c>
      <c r="D34" s="72">
        <f>'MODIFICAR CODIGOS '!D34</f>
        <v>13</v>
      </c>
      <c r="E34" s="275">
        <f>'MODIFICAR CODIGOS '!E34</f>
        <v>12</v>
      </c>
      <c r="F34" s="220"/>
      <c r="G34" s="147"/>
      <c r="H34" s="147"/>
      <c r="I34" s="147"/>
      <c r="J34" s="147"/>
      <c r="K34" s="219"/>
      <c r="L34" s="220"/>
      <c r="M34" s="147"/>
      <c r="N34" s="147"/>
      <c r="O34" s="219"/>
      <c r="P34" s="143"/>
      <c r="Q34" s="147">
        <v>6</v>
      </c>
      <c r="R34" s="141"/>
      <c r="S34" s="220">
        <v>1</v>
      </c>
      <c r="T34" s="219"/>
      <c r="U34" s="357">
        <f t="shared" si="0"/>
        <v>6.01</v>
      </c>
      <c r="V34" s="365">
        <f t="shared" si="2"/>
        <v>6</v>
      </c>
      <c r="W34" s="366">
        <f t="shared" si="3"/>
        <v>1</v>
      </c>
      <c r="X34" s="362">
        <f t="shared" si="4"/>
        <v>6.083333333333333</v>
      </c>
      <c r="Y34" s="294">
        <f t="shared" ca="1" si="5"/>
        <v>46104</v>
      </c>
      <c r="Z34" s="371"/>
      <c r="AA34" s="384"/>
      <c r="AB34" s="391">
        <f t="shared" ca="1" si="6"/>
        <v>-46104</v>
      </c>
    </row>
    <row r="35" spans="1:28" s="7" customFormat="1" ht="123" customHeight="1" x14ac:dyDescent="1.95">
      <c r="A35" s="72">
        <f>'MODIFICAR CODIGOS '!A35</f>
        <v>160101</v>
      </c>
      <c r="B35" s="264" t="str">
        <f>'MODIFICAR CODIGOS '!B35</f>
        <v>SCHEPPES SODA 1,5 LTS</v>
      </c>
      <c r="C35" s="274">
        <f>'MODIFICAR CODIGOS '!C35</f>
        <v>65</v>
      </c>
      <c r="D35" s="72">
        <f>'MODIFICAR CODIGOS '!D35</f>
        <v>13</v>
      </c>
      <c r="E35" s="275">
        <f>'MODIFICAR CODIGOS '!E35</f>
        <v>12</v>
      </c>
      <c r="F35" s="220"/>
      <c r="G35" s="147"/>
      <c r="H35" s="147"/>
      <c r="I35" s="147"/>
      <c r="J35" s="147"/>
      <c r="K35" s="219"/>
      <c r="L35" s="220"/>
      <c r="M35" s="147"/>
      <c r="N35" s="147"/>
      <c r="O35" s="219">
        <v>2</v>
      </c>
      <c r="P35" s="143">
        <v>9</v>
      </c>
      <c r="Q35" s="147"/>
      <c r="R35" s="141"/>
      <c r="S35" s="220">
        <v>2</v>
      </c>
      <c r="T35" s="219"/>
      <c r="U35" s="357">
        <f t="shared" si="0"/>
        <v>35.020000000000003</v>
      </c>
      <c r="V35" s="365">
        <f t="shared" si="2"/>
        <v>35</v>
      </c>
      <c r="W35" s="366">
        <f t="shared" si="3"/>
        <v>2</v>
      </c>
      <c r="X35" s="362">
        <f t="shared" si="4"/>
        <v>35.166666666666664</v>
      </c>
      <c r="Y35" s="294">
        <f t="shared" ca="1" si="5"/>
        <v>46104</v>
      </c>
      <c r="Z35" s="371"/>
      <c r="AA35" s="384"/>
      <c r="AB35" s="391">
        <f t="shared" ca="1" si="6"/>
        <v>-46104</v>
      </c>
    </row>
    <row r="36" spans="1:28" s="7" customFormat="1" ht="123" customHeight="1" x14ac:dyDescent="1.95">
      <c r="A36" s="72">
        <f>'MODIFICAR CODIGOS '!A36</f>
        <v>160099</v>
      </c>
      <c r="B36" s="264" t="str">
        <f>'MODIFICAR CODIGOS '!B36</f>
        <v xml:space="preserve">KOLA ROMA 1,5 LTS </v>
      </c>
      <c r="C36" s="274">
        <f>'MODIFICAR CODIGOS '!C36</f>
        <v>65</v>
      </c>
      <c r="D36" s="313">
        <f>'MODIFICAR CODIGOS '!D36</f>
        <v>13</v>
      </c>
      <c r="E36" s="275">
        <f>'MODIFICAR CODIGOS '!E36</f>
        <v>12</v>
      </c>
      <c r="F36" s="220"/>
      <c r="G36" s="147"/>
      <c r="H36" s="147"/>
      <c r="I36" s="147"/>
      <c r="J36" s="147"/>
      <c r="K36" s="219"/>
      <c r="L36" s="220"/>
      <c r="M36" s="147"/>
      <c r="N36" s="147"/>
      <c r="O36" s="219"/>
      <c r="P36" s="143"/>
      <c r="Q36" s="147">
        <v>3</v>
      </c>
      <c r="R36" s="141"/>
      <c r="S36" s="220">
        <v>2</v>
      </c>
      <c r="T36" s="219"/>
      <c r="U36" s="357">
        <f t="shared" si="0"/>
        <v>3.02</v>
      </c>
      <c r="V36" s="365">
        <f t="shared" si="2"/>
        <v>3</v>
      </c>
      <c r="W36" s="366">
        <f t="shared" si="3"/>
        <v>2</v>
      </c>
      <c r="X36" s="362">
        <f t="shared" si="4"/>
        <v>3.1666666666666665</v>
      </c>
      <c r="Y36" s="294">
        <f t="shared" ca="1" si="5"/>
        <v>46104</v>
      </c>
      <c r="Z36" s="371"/>
      <c r="AA36" s="384"/>
      <c r="AB36" s="391">
        <f t="shared" ca="1" si="6"/>
        <v>-46104</v>
      </c>
    </row>
    <row r="37" spans="1:28" s="7" customFormat="1" ht="123" customHeight="1" x14ac:dyDescent="1.95">
      <c r="A37" s="100" t="s">
        <v>396</v>
      </c>
      <c r="B37" s="101"/>
      <c r="C37" s="279"/>
      <c r="D37" s="314"/>
      <c r="E37" s="312"/>
      <c r="F37" s="223"/>
      <c r="G37" s="149"/>
      <c r="H37" s="149"/>
      <c r="I37" s="149"/>
      <c r="J37" s="149"/>
      <c r="K37" s="224"/>
      <c r="L37" s="223"/>
      <c r="M37" s="149"/>
      <c r="N37" s="149"/>
      <c r="O37" s="224"/>
      <c r="P37" s="149"/>
      <c r="Q37" s="149"/>
      <c r="R37" s="149"/>
      <c r="S37" s="223"/>
      <c r="T37" s="224"/>
      <c r="U37" s="357"/>
      <c r="V37" s="365" t="e">
        <f t="shared" si="2"/>
        <v>#DIV/0!</v>
      </c>
      <c r="W37" s="366" t="e">
        <f t="shared" si="3"/>
        <v>#DIV/0!</v>
      </c>
      <c r="X37" s="362"/>
      <c r="Y37" s="294"/>
      <c r="Z37" s="370"/>
      <c r="AA37" s="251"/>
      <c r="AB37" s="391">
        <f t="shared" si="6"/>
        <v>0</v>
      </c>
    </row>
    <row r="38" spans="1:28" s="7" customFormat="1" ht="123" hidden="1" customHeight="1" x14ac:dyDescent="1.95">
      <c r="A38" s="72">
        <f>'MODIFICAR CODIGOS '!A38</f>
        <v>0</v>
      </c>
      <c r="B38" s="264">
        <f>'MODIFICAR CODIGOS '!B38</f>
        <v>0</v>
      </c>
      <c r="C38" s="274">
        <f>'MODIFICAR CODIGOS '!C38</f>
        <v>0</v>
      </c>
      <c r="D38" s="99">
        <f>'MODIFICAR CODIGOS '!D38</f>
        <v>0</v>
      </c>
      <c r="E38" s="275">
        <f>'MODIFICAR CODIGOS '!E38</f>
        <v>1</v>
      </c>
      <c r="F38" s="220"/>
      <c r="G38" s="147"/>
      <c r="H38" s="147"/>
      <c r="I38" s="147"/>
      <c r="J38" s="147"/>
      <c r="K38" s="219"/>
      <c r="L38" s="220"/>
      <c r="M38" s="147"/>
      <c r="N38" s="147"/>
      <c r="O38" s="219"/>
      <c r="P38" s="143"/>
      <c r="Q38" s="147"/>
      <c r="R38" s="141"/>
      <c r="S38" s="220"/>
      <c r="T38" s="219"/>
      <c r="U38" s="357">
        <f t="shared" si="0"/>
        <v>0</v>
      </c>
      <c r="V38" s="365">
        <f t="shared" si="2"/>
        <v>0</v>
      </c>
      <c r="W38" s="366">
        <f t="shared" si="3"/>
        <v>0</v>
      </c>
      <c r="X38" s="362">
        <f t="shared" si="4"/>
        <v>0</v>
      </c>
      <c r="Y38" s="294">
        <f t="shared" ca="1" si="5"/>
        <v>46104</v>
      </c>
      <c r="Z38" s="371"/>
      <c r="AA38" s="249"/>
      <c r="AB38" s="391">
        <f t="shared" ca="1" si="6"/>
        <v>-46104</v>
      </c>
    </row>
    <row r="39" spans="1:28" s="7" customFormat="1" ht="198" customHeight="1" x14ac:dyDescent="1.95">
      <c r="A39" s="72">
        <f>'MODIFICAR CODIGOS '!A39</f>
        <v>136133</v>
      </c>
      <c r="B39" s="264" t="str">
        <f>'MODIFICAR CODIGOS '!B39</f>
        <v>COCA COLA 2.25L PET(8) EINSTEIN</v>
      </c>
      <c r="C39" s="274">
        <f>'MODIFICAR CODIGOS '!C39</f>
        <v>60</v>
      </c>
      <c r="D39" s="72">
        <f>'MODIFICAR CODIGOS '!D39</f>
        <v>12</v>
      </c>
      <c r="E39" s="275">
        <f>'MODIFICAR CODIGOS '!E39</f>
        <v>8</v>
      </c>
      <c r="F39" s="220"/>
      <c r="G39" s="147"/>
      <c r="H39" s="147">
        <v>2</v>
      </c>
      <c r="I39" s="147"/>
      <c r="J39" s="147"/>
      <c r="K39" s="219"/>
      <c r="L39" s="220"/>
      <c r="M39" s="147"/>
      <c r="N39" s="147"/>
      <c r="O39" s="219"/>
      <c r="P39" s="143"/>
      <c r="Q39" s="147">
        <v>7</v>
      </c>
      <c r="R39" s="141"/>
      <c r="S39" s="220">
        <v>1</v>
      </c>
      <c r="T39" s="219"/>
      <c r="U39" s="357">
        <f t="shared" si="0"/>
        <v>127.01</v>
      </c>
      <c r="V39" s="365">
        <f t="shared" si="2"/>
        <v>127</v>
      </c>
      <c r="W39" s="366">
        <f t="shared" si="3"/>
        <v>1</v>
      </c>
      <c r="X39" s="362">
        <f t="shared" si="4"/>
        <v>127.125</v>
      </c>
      <c r="Y39" s="294">
        <f t="shared" ca="1" si="5"/>
        <v>46104</v>
      </c>
      <c r="Z39" s="371"/>
      <c r="AA39" s="384"/>
      <c r="AB39" s="391">
        <f t="shared" ca="1" si="6"/>
        <v>-46104</v>
      </c>
    </row>
    <row r="40" spans="1:28" s="7" customFormat="1" ht="123" hidden="1" customHeight="1" x14ac:dyDescent="1.95">
      <c r="A40" s="72">
        <f>'MODIFICAR CODIGOS '!A40</f>
        <v>0</v>
      </c>
      <c r="B40" s="264">
        <f>'MODIFICAR CODIGOS '!B40</f>
        <v>0</v>
      </c>
      <c r="C40" s="274">
        <f>'MODIFICAR CODIGOS '!C40</f>
        <v>0</v>
      </c>
      <c r="D40" s="72">
        <f>'MODIFICAR CODIGOS '!D40</f>
        <v>0</v>
      </c>
      <c r="E40" s="275">
        <f>'MODIFICAR CODIGOS '!E40</f>
        <v>1</v>
      </c>
      <c r="F40" s="220"/>
      <c r="G40" s="147"/>
      <c r="H40" s="147"/>
      <c r="I40" s="147"/>
      <c r="J40" s="147"/>
      <c r="K40" s="219"/>
      <c r="L40" s="220"/>
      <c r="M40" s="147"/>
      <c r="N40" s="147"/>
      <c r="O40" s="219"/>
      <c r="P40" s="143"/>
      <c r="Q40" s="147"/>
      <c r="R40" s="141"/>
      <c r="S40" s="220"/>
      <c r="T40" s="219"/>
      <c r="U40" s="357">
        <f t="shared" si="0"/>
        <v>0</v>
      </c>
      <c r="V40" s="365">
        <f t="shared" si="2"/>
        <v>0</v>
      </c>
      <c r="W40" s="366">
        <f t="shared" si="3"/>
        <v>0</v>
      </c>
      <c r="X40" s="362">
        <f t="shared" si="4"/>
        <v>0</v>
      </c>
      <c r="Y40" s="294">
        <f t="shared" ca="1" si="5"/>
        <v>46104</v>
      </c>
      <c r="Z40" s="371"/>
      <c r="AA40" s="249"/>
      <c r="AB40" s="391">
        <f t="shared" ca="1" si="6"/>
        <v>-46104</v>
      </c>
    </row>
    <row r="41" spans="1:28" s="7" customFormat="1" ht="123" hidden="1" customHeight="1" x14ac:dyDescent="1.95">
      <c r="A41" s="72">
        <f>'MODIFICAR CODIGOS '!A41</f>
        <v>0</v>
      </c>
      <c r="B41" s="264">
        <f>'MODIFICAR CODIGOS '!B41</f>
        <v>0</v>
      </c>
      <c r="C41" s="274">
        <f>'MODIFICAR CODIGOS '!C41</f>
        <v>0</v>
      </c>
      <c r="D41" s="72">
        <f>'MODIFICAR CODIGOS '!D41</f>
        <v>0</v>
      </c>
      <c r="E41" s="275">
        <f>'MODIFICAR CODIGOS '!E41</f>
        <v>1</v>
      </c>
      <c r="F41" s="220"/>
      <c r="G41" s="147"/>
      <c r="H41" s="147"/>
      <c r="I41" s="147"/>
      <c r="J41" s="147"/>
      <c r="K41" s="219"/>
      <c r="L41" s="220"/>
      <c r="M41" s="147"/>
      <c r="N41" s="147"/>
      <c r="O41" s="219"/>
      <c r="P41" s="143"/>
      <c r="Q41" s="147"/>
      <c r="R41" s="141"/>
      <c r="S41" s="220"/>
      <c r="T41" s="219"/>
      <c r="U41" s="357">
        <f t="shared" si="0"/>
        <v>0</v>
      </c>
      <c r="V41" s="365">
        <f t="shared" si="2"/>
        <v>0</v>
      </c>
      <c r="W41" s="366">
        <f t="shared" si="3"/>
        <v>0</v>
      </c>
      <c r="X41" s="362">
        <f t="shared" si="4"/>
        <v>0</v>
      </c>
      <c r="Y41" s="294">
        <f t="shared" ca="1" si="5"/>
        <v>46104</v>
      </c>
      <c r="Z41" s="371"/>
      <c r="AA41" s="249"/>
      <c r="AB41" s="391">
        <f t="shared" ca="1" si="6"/>
        <v>-46104</v>
      </c>
    </row>
    <row r="42" spans="1:28" s="7" customFormat="1" ht="108" hidden="1" customHeight="1" x14ac:dyDescent="1.95">
      <c r="A42" s="72">
        <f>'MODIFICAR CODIGOS '!A42</f>
        <v>0</v>
      </c>
      <c r="B42" s="264">
        <f>'MODIFICAR CODIGOS '!B42</f>
        <v>0</v>
      </c>
      <c r="C42" s="274">
        <f>'MODIFICAR CODIGOS '!C42</f>
        <v>0</v>
      </c>
      <c r="D42" s="72">
        <f>'MODIFICAR CODIGOS '!D42</f>
        <v>0</v>
      </c>
      <c r="E42" s="275">
        <f>'MODIFICAR CODIGOS '!E42</f>
        <v>1</v>
      </c>
      <c r="F42" s="220"/>
      <c r="G42" s="147"/>
      <c r="H42" s="147"/>
      <c r="I42" s="147"/>
      <c r="J42" s="147"/>
      <c r="K42" s="219"/>
      <c r="L42" s="220"/>
      <c r="M42" s="147"/>
      <c r="N42" s="147"/>
      <c r="O42" s="219"/>
      <c r="P42" s="143"/>
      <c r="Q42" s="147"/>
      <c r="R42" s="141"/>
      <c r="S42" s="220"/>
      <c r="T42" s="219"/>
      <c r="U42" s="357">
        <f t="shared" si="0"/>
        <v>0</v>
      </c>
      <c r="V42" s="365">
        <f t="shared" si="2"/>
        <v>0</v>
      </c>
      <c r="W42" s="366">
        <f t="shared" si="3"/>
        <v>0</v>
      </c>
      <c r="X42" s="362">
        <f t="shared" si="4"/>
        <v>0</v>
      </c>
      <c r="Y42" s="294">
        <f t="shared" ca="1" si="5"/>
        <v>46104</v>
      </c>
      <c r="Z42" s="371"/>
      <c r="AA42" s="249"/>
      <c r="AB42" s="391">
        <f t="shared" ca="1" si="6"/>
        <v>-46104</v>
      </c>
    </row>
    <row r="43" spans="1:28" s="7" customFormat="1" ht="107.4" hidden="1" x14ac:dyDescent="1.95">
      <c r="A43" s="72">
        <f>'MODIFICAR CODIGOS '!A43</f>
        <v>0</v>
      </c>
      <c r="B43" s="264">
        <f>'MODIFICAR CODIGOS '!B43</f>
        <v>0</v>
      </c>
      <c r="C43" s="274">
        <f>'MODIFICAR CODIGOS '!C43</f>
        <v>0</v>
      </c>
      <c r="D43" s="72">
        <f>'MODIFICAR CODIGOS '!D43</f>
        <v>0</v>
      </c>
      <c r="E43" s="275">
        <f>'MODIFICAR CODIGOS '!E43</f>
        <v>1</v>
      </c>
      <c r="F43" s="220"/>
      <c r="G43" s="147"/>
      <c r="H43" s="147"/>
      <c r="I43" s="147"/>
      <c r="J43" s="147"/>
      <c r="K43" s="219"/>
      <c r="L43" s="220"/>
      <c r="M43" s="147"/>
      <c r="N43" s="147"/>
      <c r="O43" s="219"/>
      <c r="P43" s="143"/>
      <c r="Q43" s="147"/>
      <c r="R43" s="141"/>
      <c r="S43" s="220"/>
      <c r="T43" s="219"/>
      <c r="U43" s="357">
        <f t="shared" si="0"/>
        <v>0</v>
      </c>
      <c r="V43" s="365">
        <f t="shared" si="2"/>
        <v>0</v>
      </c>
      <c r="W43" s="366">
        <f t="shared" si="3"/>
        <v>0</v>
      </c>
      <c r="X43" s="362">
        <f t="shared" si="4"/>
        <v>0</v>
      </c>
      <c r="Y43" s="294">
        <f t="shared" ca="1" si="5"/>
        <v>46104</v>
      </c>
      <c r="Z43" s="371"/>
      <c r="AA43" s="249"/>
      <c r="AB43" s="391">
        <f t="shared" ca="1" si="6"/>
        <v>-46104</v>
      </c>
    </row>
    <row r="44" spans="1:28" s="7" customFormat="1" ht="107.25" hidden="1" customHeight="1" x14ac:dyDescent="1.95">
      <c r="A44" s="72">
        <f>'MODIFICAR CODIGOS '!A44</f>
        <v>0</v>
      </c>
      <c r="B44" s="264">
        <f>'MODIFICAR CODIGOS '!B44</f>
        <v>0</v>
      </c>
      <c r="C44" s="274">
        <f>'MODIFICAR CODIGOS '!C44</f>
        <v>0</v>
      </c>
      <c r="D44" s="72">
        <f>'MODIFICAR CODIGOS '!D44</f>
        <v>0</v>
      </c>
      <c r="E44" s="275">
        <f>'MODIFICAR CODIGOS '!E44</f>
        <v>1</v>
      </c>
      <c r="F44" s="220"/>
      <c r="G44" s="147"/>
      <c r="H44" s="147"/>
      <c r="I44" s="147"/>
      <c r="J44" s="147"/>
      <c r="K44" s="219"/>
      <c r="L44" s="220"/>
      <c r="M44" s="147"/>
      <c r="N44" s="147"/>
      <c r="O44" s="219"/>
      <c r="P44" s="143"/>
      <c r="Q44" s="147"/>
      <c r="R44" s="141"/>
      <c r="S44" s="220"/>
      <c r="T44" s="219"/>
      <c r="U44" s="357">
        <f t="shared" si="0"/>
        <v>0</v>
      </c>
      <c r="V44" s="365">
        <f t="shared" si="2"/>
        <v>0</v>
      </c>
      <c r="W44" s="366">
        <f t="shared" si="3"/>
        <v>0</v>
      </c>
      <c r="X44" s="362">
        <f t="shared" si="4"/>
        <v>0</v>
      </c>
      <c r="Y44" s="294">
        <f t="shared" ca="1" si="5"/>
        <v>46104</v>
      </c>
      <c r="Z44" s="371"/>
      <c r="AA44" s="249"/>
      <c r="AB44" s="391">
        <f t="shared" ca="1" si="6"/>
        <v>-46104</v>
      </c>
    </row>
    <row r="45" spans="1:28" s="7" customFormat="1" ht="107.25" hidden="1" customHeight="1" x14ac:dyDescent="1.95">
      <c r="A45" s="72">
        <f>'MODIFICAR CODIGOS '!A45</f>
        <v>0</v>
      </c>
      <c r="B45" s="264">
        <f>'MODIFICAR CODIGOS '!B45</f>
        <v>0</v>
      </c>
      <c r="C45" s="274">
        <f>'MODIFICAR CODIGOS '!C45</f>
        <v>0</v>
      </c>
      <c r="D45" s="72">
        <f>'MODIFICAR CODIGOS '!D45</f>
        <v>0</v>
      </c>
      <c r="E45" s="275">
        <f>'MODIFICAR CODIGOS '!E45</f>
        <v>1</v>
      </c>
      <c r="F45" s="220"/>
      <c r="G45" s="147"/>
      <c r="H45" s="147"/>
      <c r="I45" s="147"/>
      <c r="J45" s="147"/>
      <c r="K45" s="219"/>
      <c r="L45" s="220"/>
      <c r="M45" s="147"/>
      <c r="N45" s="147"/>
      <c r="O45" s="219"/>
      <c r="P45" s="143"/>
      <c r="Q45" s="147"/>
      <c r="R45" s="141"/>
      <c r="S45" s="220"/>
      <c r="T45" s="219"/>
      <c r="U45" s="357">
        <f t="shared" si="0"/>
        <v>0</v>
      </c>
      <c r="V45" s="365">
        <f t="shared" si="2"/>
        <v>0</v>
      </c>
      <c r="W45" s="366">
        <f t="shared" si="3"/>
        <v>0</v>
      </c>
      <c r="X45" s="362">
        <f t="shared" si="4"/>
        <v>0</v>
      </c>
      <c r="Y45" s="294">
        <f t="shared" ca="1" si="5"/>
        <v>46104</v>
      </c>
      <c r="Z45" s="371"/>
      <c r="AA45" s="249"/>
      <c r="AB45" s="391">
        <f t="shared" ca="1" si="6"/>
        <v>-46104</v>
      </c>
    </row>
    <row r="46" spans="1:28" s="7" customFormat="1" ht="107.25" hidden="1" customHeight="1" x14ac:dyDescent="1.95">
      <c r="A46" s="72">
        <f>'MODIFICAR CODIGOS '!A46</f>
        <v>0</v>
      </c>
      <c r="B46" s="264">
        <f>'MODIFICAR CODIGOS '!B46</f>
        <v>0</v>
      </c>
      <c r="C46" s="274">
        <f>'MODIFICAR CODIGOS '!C46</f>
        <v>0</v>
      </c>
      <c r="D46" s="72">
        <f>'MODIFICAR CODIGOS '!D46</f>
        <v>0</v>
      </c>
      <c r="E46" s="275">
        <f>'MODIFICAR CODIGOS '!E46</f>
        <v>1</v>
      </c>
      <c r="F46" s="220"/>
      <c r="G46" s="147"/>
      <c r="H46" s="147"/>
      <c r="I46" s="147"/>
      <c r="J46" s="147"/>
      <c r="K46" s="219"/>
      <c r="L46" s="220"/>
      <c r="M46" s="147"/>
      <c r="N46" s="147"/>
      <c r="O46" s="219"/>
      <c r="P46" s="143"/>
      <c r="Q46" s="147"/>
      <c r="R46" s="141"/>
      <c r="S46" s="220"/>
      <c r="T46" s="219"/>
      <c r="U46" s="357">
        <f t="shared" si="0"/>
        <v>0</v>
      </c>
      <c r="V46" s="365">
        <f t="shared" si="2"/>
        <v>0</v>
      </c>
      <c r="W46" s="366">
        <f t="shared" si="3"/>
        <v>0</v>
      </c>
      <c r="X46" s="362">
        <f t="shared" si="4"/>
        <v>0</v>
      </c>
      <c r="Y46" s="294">
        <f t="shared" ca="1" si="5"/>
        <v>46104</v>
      </c>
      <c r="Z46" s="371"/>
      <c r="AA46" s="249"/>
      <c r="AB46" s="391">
        <f t="shared" ca="1" si="6"/>
        <v>-46104</v>
      </c>
    </row>
    <row r="47" spans="1:28" s="7" customFormat="1" ht="107.25" hidden="1" customHeight="1" x14ac:dyDescent="1.95">
      <c r="A47" s="72">
        <f>'MODIFICAR CODIGOS '!A47</f>
        <v>0</v>
      </c>
      <c r="B47" s="264">
        <f>'MODIFICAR CODIGOS '!B47</f>
        <v>0</v>
      </c>
      <c r="C47" s="274">
        <f>'MODIFICAR CODIGOS '!C47</f>
        <v>0</v>
      </c>
      <c r="D47" s="72">
        <f>'MODIFICAR CODIGOS '!D47</f>
        <v>0</v>
      </c>
      <c r="E47" s="275">
        <f>'MODIFICAR CODIGOS '!E47</f>
        <v>1</v>
      </c>
      <c r="F47" s="220"/>
      <c r="G47" s="147"/>
      <c r="H47" s="147"/>
      <c r="I47" s="147"/>
      <c r="J47" s="147"/>
      <c r="K47" s="219"/>
      <c r="L47" s="220"/>
      <c r="M47" s="147"/>
      <c r="N47" s="147"/>
      <c r="O47" s="219"/>
      <c r="P47" s="143"/>
      <c r="Q47" s="147"/>
      <c r="R47" s="141"/>
      <c r="S47" s="220"/>
      <c r="T47" s="219"/>
      <c r="U47" s="357">
        <f t="shared" si="0"/>
        <v>0</v>
      </c>
      <c r="V47" s="365">
        <f t="shared" si="2"/>
        <v>0</v>
      </c>
      <c r="W47" s="366">
        <f t="shared" si="3"/>
        <v>0</v>
      </c>
      <c r="X47" s="362">
        <f t="shared" si="4"/>
        <v>0</v>
      </c>
      <c r="Y47" s="294">
        <f t="shared" ca="1" si="5"/>
        <v>46104</v>
      </c>
      <c r="Z47" s="371"/>
      <c r="AA47" s="249"/>
      <c r="AB47" s="391">
        <f t="shared" ca="1" si="6"/>
        <v>-46104</v>
      </c>
    </row>
    <row r="48" spans="1:28" s="7" customFormat="1" ht="107.25" hidden="1" customHeight="1" x14ac:dyDescent="1.95">
      <c r="A48" s="72">
        <f>'MODIFICAR CODIGOS '!A48</f>
        <v>0</v>
      </c>
      <c r="B48" s="264">
        <f>'MODIFICAR CODIGOS '!B48</f>
        <v>0</v>
      </c>
      <c r="C48" s="274">
        <f>'MODIFICAR CODIGOS '!C48</f>
        <v>0</v>
      </c>
      <c r="D48" s="72">
        <f>'MODIFICAR CODIGOS '!D48</f>
        <v>0</v>
      </c>
      <c r="E48" s="275">
        <f>'MODIFICAR CODIGOS '!E48</f>
        <v>1</v>
      </c>
      <c r="F48" s="220"/>
      <c r="G48" s="147"/>
      <c r="H48" s="147"/>
      <c r="I48" s="147"/>
      <c r="J48" s="147"/>
      <c r="K48" s="219"/>
      <c r="L48" s="220"/>
      <c r="M48" s="147"/>
      <c r="N48" s="147"/>
      <c r="O48" s="219"/>
      <c r="P48" s="143"/>
      <c r="Q48" s="147"/>
      <c r="R48" s="141"/>
      <c r="S48" s="220"/>
      <c r="T48" s="219"/>
      <c r="U48" s="357">
        <f t="shared" si="0"/>
        <v>0</v>
      </c>
      <c r="V48" s="365">
        <f t="shared" si="2"/>
        <v>0</v>
      </c>
      <c r="W48" s="366">
        <f t="shared" si="3"/>
        <v>0</v>
      </c>
      <c r="X48" s="362">
        <f t="shared" si="4"/>
        <v>0</v>
      </c>
      <c r="Y48" s="294">
        <f t="shared" ca="1" si="5"/>
        <v>46104</v>
      </c>
      <c r="Z48" s="371"/>
      <c r="AA48" s="249"/>
      <c r="AB48" s="391">
        <f t="shared" ca="1" si="6"/>
        <v>-46104</v>
      </c>
    </row>
    <row r="49" spans="1:28" s="7" customFormat="1" ht="107.25" hidden="1" customHeight="1" x14ac:dyDescent="1.95">
      <c r="A49" s="72">
        <f>'MODIFICAR CODIGOS '!A49</f>
        <v>0</v>
      </c>
      <c r="B49" s="264">
        <f>'MODIFICAR CODIGOS '!B49</f>
        <v>0</v>
      </c>
      <c r="C49" s="274">
        <f>'MODIFICAR CODIGOS '!C49</f>
        <v>0</v>
      </c>
      <c r="D49" s="72">
        <f>'MODIFICAR CODIGOS '!D49</f>
        <v>0</v>
      </c>
      <c r="E49" s="275">
        <f>'MODIFICAR CODIGOS '!E49</f>
        <v>1</v>
      </c>
      <c r="F49" s="220"/>
      <c r="G49" s="147"/>
      <c r="H49" s="147"/>
      <c r="I49" s="147"/>
      <c r="J49" s="147"/>
      <c r="K49" s="219"/>
      <c r="L49" s="220"/>
      <c r="M49" s="147"/>
      <c r="N49" s="147"/>
      <c r="O49" s="219"/>
      <c r="P49" s="143"/>
      <c r="Q49" s="147"/>
      <c r="R49" s="141"/>
      <c r="S49" s="220"/>
      <c r="T49" s="219"/>
      <c r="U49" s="357">
        <f t="shared" si="0"/>
        <v>0</v>
      </c>
      <c r="V49" s="365">
        <f t="shared" si="2"/>
        <v>0</v>
      </c>
      <c r="W49" s="366">
        <f t="shared" si="3"/>
        <v>0</v>
      </c>
      <c r="X49" s="362">
        <f t="shared" si="4"/>
        <v>0</v>
      </c>
      <c r="Y49" s="294">
        <f t="shared" ca="1" si="5"/>
        <v>46104</v>
      </c>
      <c r="Z49" s="371"/>
      <c r="AA49" s="249"/>
      <c r="AB49" s="391">
        <f t="shared" ca="1" si="6"/>
        <v>-46104</v>
      </c>
    </row>
    <row r="50" spans="1:28" s="7" customFormat="1" ht="107.25" hidden="1" customHeight="1" x14ac:dyDescent="1.95">
      <c r="A50" s="72">
        <f>'MODIFICAR CODIGOS '!A50</f>
        <v>0</v>
      </c>
      <c r="B50" s="264">
        <f>'MODIFICAR CODIGOS '!B50</f>
        <v>0</v>
      </c>
      <c r="C50" s="274">
        <f>'MODIFICAR CODIGOS '!C50</f>
        <v>0</v>
      </c>
      <c r="D50" s="72">
        <f>'MODIFICAR CODIGOS '!D50</f>
        <v>0</v>
      </c>
      <c r="E50" s="275">
        <f>'MODIFICAR CODIGOS '!E50</f>
        <v>1</v>
      </c>
      <c r="F50" s="220"/>
      <c r="G50" s="147"/>
      <c r="H50" s="147"/>
      <c r="I50" s="147"/>
      <c r="J50" s="147"/>
      <c r="K50" s="219"/>
      <c r="L50" s="220"/>
      <c r="M50" s="147"/>
      <c r="N50" s="147"/>
      <c r="O50" s="219"/>
      <c r="P50" s="143"/>
      <c r="Q50" s="147"/>
      <c r="R50" s="141"/>
      <c r="S50" s="220"/>
      <c r="T50" s="219"/>
      <c r="U50" s="357">
        <f t="shared" si="0"/>
        <v>0</v>
      </c>
      <c r="V50" s="365">
        <f t="shared" si="2"/>
        <v>0</v>
      </c>
      <c r="W50" s="366">
        <f t="shared" si="3"/>
        <v>0</v>
      </c>
      <c r="X50" s="362">
        <f t="shared" si="4"/>
        <v>0</v>
      </c>
      <c r="Y50" s="294">
        <f t="shared" ca="1" si="5"/>
        <v>46104</v>
      </c>
      <c r="Z50" s="371"/>
      <c r="AA50" s="249"/>
      <c r="AB50" s="391">
        <f t="shared" ca="1" si="6"/>
        <v>-46104</v>
      </c>
    </row>
    <row r="51" spans="1:28" s="7" customFormat="1" ht="107.25" hidden="1" customHeight="1" x14ac:dyDescent="1.95">
      <c r="A51" s="72">
        <f>'MODIFICAR CODIGOS '!A51</f>
        <v>0</v>
      </c>
      <c r="B51" s="264">
        <f>'MODIFICAR CODIGOS '!B51</f>
        <v>0</v>
      </c>
      <c r="C51" s="274">
        <f>'MODIFICAR CODIGOS '!C51</f>
        <v>0</v>
      </c>
      <c r="D51" s="313">
        <f>'MODIFICAR CODIGOS '!D51</f>
        <v>0</v>
      </c>
      <c r="E51" s="275">
        <f>'MODIFICAR CODIGOS '!E51</f>
        <v>1</v>
      </c>
      <c r="F51" s="220"/>
      <c r="G51" s="147"/>
      <c r="H51" s="147"/>
      <c r="I51" s="147"/>
      <c r="J51" s="147"/>
      <c r="K51" s="219"/>
      <c r="L51" s="220"/>
      <c r="M51" s="147"/>
      <c r="N51" s="147"/>
      <c r="O51" s="219"/>
      <c r="P51" s="143"/>
      <c r="Q51" s="147"/>
      <c r="R51" s="141"/>
      <c r="S51" s="220"/>
      <c r="T51" s="219"/>
      <c r="U51" s="357">
        <f t="shared" si="0"/>
        <v>0</v>
      </c>
      <c r="V51" s="365">
        <f t="shared" si="2"/>
        <v>0</v>
      </c>
      <c r="W51" s="366">
        <f t="shared" si="3"/>
        <v>0</v>
      </c>
      <c r="X51" s="362">
        <f t="shared" si="4"/>
        <v>0</v>
      </c>
      <c r="Y51" s="294">
        <f t="shared" ca="1" si="5"/>
        <v>46104</v>
      </c>
      <c r="Z51" s="371"/>
      <c r="AA51" s="249"/>
      <c r="AB51" s="391">
        <f t="shared" ca="1" si="6"/>
        <v>-46104</v>
      </c>
    </row>
    <row r="52" spans="1:28" s="7" customFormat="1" ht="107.4" x14ac:dyDescent="1.95">
      <c r="A52" s="72" t="s">
        <v>396</v>
      </c>
      <c r="B52" s="264"/>
      <c r="C52" s="277"/>
      <c r="D52" s="314"/>
      <c r="E52" s="312"/>
      <c r="F52" s="225"/>
      <c r="G52" s="69"/>
      <c r="H52" s="69"/>
      <c r="I52" s="69"/>
      <c r="J52" s="69"/>
      <c r="K52" s="226"/>
      <c r="L52" s="225"/>
      <c r="M52" s="69"/>
      <c r="N52" s="69"/>
      <c r="O52" s="226"/>
      <c r="P52" s="69"/>
      <c r="Q52" s="69"/>
      <c r="R52" s="69"/>
      <c r="S52" s="225"/>
      <c r="T52" s="226"/>
      <c r="U52" s="357"/>
      <c r="V52" s="365" t="e">
        <f t="shared" si="2"/>
        <v>#DIV/0!</v>
      </c>
      <c r="W52" s="366" t="e">
        <f t="shared" si="3"/>
        <v>#DIV/0!</v>
      </c>
      <c r="X52" s="362"/>
      <c r="Y52" s="294"/>
      <c r="Z52" s="371"/>
      <c r="AA52" s="252"/>
      <c r="AB52" s="391">
        <f t="shared" si="6"/>
        <v>0</v>
      </c>
    </row>
    <row r="53" spans="1:28" s="7" customFormat="1" ht="107.25" hidden="1" customHeight="1" x14ac:dyDescent="1.95">
      <c r="A53" s="72">
        <f>'MODIFICAR CODIGOS '!A53</f>
        <v>0</v>
      </c>
      <c r="B53" s="264">
        <f>'MODIFICAR CODIGOS '!B53</f>
        <v>0</v>
      </c>
      <c r="C53" s="274">
        <f>'MODIFICAR CODIGOS '!C53</f>
        <v>0</v>
      </c>
      <c r="D53" s="99">
        <f>'MODIFICAR CODIGOS '!D53</f>
        <v>0</v>
      </c>
      <c r="E53" s="275">
        <f>'MODIFICAR CODIGOS '!E53</f>
        <v>1</v>
      </c>
      <c r="F53" s="220"/>
      <c r="G53" s="147"/>
      <c r="H53" s="147"/>
      <c r="I53" s="147"/>
      <c r="J53" s="147"/>
      <c r="K53" s="219"/>
      <c r="L53" s="220"/>
      <c r="M53" s="147"/>
      <c r="N53" s="147"/>
      <c r="O53" s="219"/>
      <c r="P53" s="143"/>
      <c r="Q53" s="147"/>
      <c r="R53" s="141"/>
      <c r="S53" s="220"/>
      <c r="T53" s="219"/>
      <c r="U53" s="357">
        <f t="shared" si="0"/>
        <v>0</v>
      </c>
      <c r="V53" s="365">
        <f t="shared" si="2"/>
        <v>0</v>
      </c>
      <c r="W53" s="366">
        <f t="shared" si="3"/>
        <v>0</v>
      </c>
      <c r="X53" s="362">
        <f t="shared" si="4"/>
        <v>0</v>
      </c>
      <c r="Y53" s="294">
        <f t="shared" ca="1" si="5"/>
        <v>46104</v>
      </c>
      <c r="Z53" s="371"/>
      <c r="AA53" s="249"/>
      <c r="AB53" s="391">
        <f t="shared" ca="1" si="6"/>
        <v>-46104</v>
      </c>
    </row>
    <row r="54" spans="1:28" s="7" customFormat="1" ht="107.4" hidden="1" x14ac:dyDescent="1.95">
      <c r="A54" s="72">
        <f>'MODIFICAR CODIGOS '!A54</f>
        <v>0</v>
      </c>
      <c r="B54" s="264">
        <f>'MODIFICAR CODIGOS '!B54</f>
        <v>0</v>
      </c>
      <c r="C54" s="274">
        <f>'MODIFICAR CODIGOS '!C54</f>
        <v>0</v>
      </c>
      <c r="D54" s="72">
        <f>'MODIFICAR CODIGOS '!D54</f>
        <v>0</v>
      </c>
      <c r="E54" s="275">
        <f>'MODIFICAR CODIGOS '!E54</f>
        <v>1</v>
      </c>
      <c r="F54" s="220"/>
      <c r="G54" s="147"/>
      <c r="H54" s="147"/>
      <c r="I54" s="147"/>
      <c r="J54" s="147"/>
      <c r="K54" s="219"/>
      <c r="L54" s="220"/>
      <c r="M54" s="147"/>
      <c r="N54" s="147"/>
      <c r="O54" s="219"/>
      <c r="P54" s="143"/>
      <c r="Q54" s="147"/>
      <c r="R54" s="141"/>
      <c r="S54" s="220"/>
      <c r="T54" s="219"/>
      <c r="U54" s="357">
        <f t="shared" si="0"/>
        <v>0</v>
      </c>
      <c r="V54" s="365">
        <f t="shared" si="2"/>
        <v>0</v>
      </c>
      <c r="W54" s="366">
        <f t="shared" si="3"/>
        <v>0</v>
      </c>
      <c r="X54" s="362">
        <f t="shared" si="4"/>
        <v>0</v>
      </c>
      <c r="Y54" s="294">
        <f t="shared" ca="1" si="5"/>
        <v>46104</v>
      </c>
      <c r="Z54" s="371"/>
      <c r="AA54" s="249"/>
      <c r="AB54" s="391">
        <f t="shared" ca="1" si="6"/>
        <v>-46104</v>
      </c>
    </row>
    <row r="55" spans="1:28" s="7" customFormat="1" ht="107.25" hidden="1" customHeight="1" x14ac:dyDescent="1.95">
      <c r="A55" s="72">
        <f>'MODIFICAR CODIGOS '!A55</f>
        <v>0</v>
      </c>
      <c r="B55" s="264">
        <f>'MODIFICAR CODIGOS '!B55</f>
        <v>0</v>
      </c>
      <c r="C55" s="274">
        <f>'MODIFICAR CODIGOS '!C55</f>
        <v>0</v>
      </c>
      <c r="D55" s="313">
        <f>'MODIFICAR CODIGOS '!D55</f>
        <v>0</v>
      </c>
      <c r="E55" s="275">
        <f>'MODIFICAR CODIGOS '!E55</f>
        <v>1</v>
      </c>
      <c r="F55" s="220"/>
      <c r="G55" s="147"/>
      <c r="H55" s="147"/>
      <c r="I55" s="147"/>
      <c r="J55" s="147"/>
      <c r="K55" s="219"/>
      <c r="L55" s="220"/>
      <c r="M55" s="147"/>
      <c r="N55" s="147"/>
      <c r="O55" s="219"/>
      <c r="P55" s="143"/>
      <c r="Q55" s="147"/>
      <c r="R55" s="141"/>
      <c r="S55" s="220"/>
      <c r="T55" s="219"/>
      <c r="U55" s="357">
        <f t="shared" si="0"/>
        <v>0</v>
      </c>
      <c r="V55" s="365">
        <f t="shared" si="2"/>
        <v>0</v>
      </c>
      <c r="W55" s="366">
        <f t="shared" si="3"/>
        <v>0</v>
      </c>
      <c r="X55" s="362">
        <f t="shared" si="4"/>
        <v>0</v>
      </c>
      <c r="Y55" s="294">
        <f t="shared" ca="1" si="5"/>
        <v>46104</v>
      </c>
      <c r="Z55" s="371"/>
      <c r="AA55" s="249"/>
      <c r="AB55" s="391">
        <f t="shared" ca="1" si="6"/>
        <v>-46104</v>
      </c>
    </row>
    <row r="56" spans="1:28" s="7" customFormat="1" ht="108" thickBot="1" x14ac:dyDescent="2">
      <c r="A56" s="72" t="s">
        <v>396</v>
      </c>
      <c r="B56" s="264"/>
      <c r="C56" s="277"/>
      <c r="D56" s="314"/>
      <c r="E56" s="312"/>
      <c r="F56" s="225"/>
      <c r="G56" s="69"/>
      <c r="H56" s="69"/>
      <c r="I56" s="69"/>
      <c r="J56" s="69"/>
      <c r="K56" s="226"/>
      <c r="L56" s="225"/>
      <c r="M56" s="69"/>
      <c r="N56" s="69"/>
      <c r="O56" s="226"/>
      <c r="P56" s="69"/>
      <c r="Q56" s="69"/>
      <c r="R56" s="69"/>
      <c r="S56" s="225"/>
      <c r="T56" s="226"/>
      <c r="U56" s="357"/>
      <c r="V56" s="365" t="e">
        <f t="shared" si="2"/>
        <v>#DIV/0!</v>
      </c>
      <c r="W56" s="366" t="e">
        <f t="shared" si="3"/>
        <v>#DIV/0!</v>
      </c>
      <c r="X56" s="362"/>
      <c r="Y56" s="294"/>
      <c r="Z56" s="371"/>
      <c r="AA56" s="252"/>
      <c r="AB56" s="391">
        <f t="shared" si="6"/>
        <v>0</v>
      </c>
    </row>
    <row r="57" spans="1:28" s="7" customFormat="1" ht="107.25" hidden="1" customHeight="1" x14ac:dyDescent="1.95">
      <c r="A57" s="72">
        <f>'MODIFICAR CODIGOS '!A57</f>
        <v>0</v>
      </c>
      <c r="B57" s="264">
        <f>'MODIFICAR CODIGOS '!B57</f>
        <v>0</v>
      </c>
      <c r="C57" s="274">
        <f>'MODIFICAR CODIGOS '!C57</f>
        <v>0</v>
      </c>
      <c r="D57" s="99">
        <f>'MODIFICAR CODIGOS '!D57</f>
        <v>0</v>
      </c>
      <c r="E57" s="275">
        <f>'MODIFICAR CODIGOS '!E57</f>
        <v>1</v>
      </c>
      <c r="F57" s="220"/>
      <c r="G57" s="147"/>
      <c r="H57" s="147"/>
      <c r="I57" s="147"/>
      <c r="J57" s="147"/>
      <c r="K57" s="219"/>
      <c r="L57" s="220"/>
      <c r="M57" s="147"/>
      <c r="N57" s="147"/>
      <c r="O57" s="219"/>
      <c r="P57" s="143"/>
      <c r="Q57" s="147"/>
      <c r="R57" s="141"/>
      <c r="S57" s="220"/>
      <c r="T57" s="219"/>
      <c r="U57" s="357">
        <f t="shared" si="0"/>
        <v>0</v>
      </c>
      <c r="V57" s="365">
        <f t="shared" si="2"/>
        <v>0</v>
      </c>
      <c r="W57" s="366">
        <f t="shared" si="3"/>
        <v>0</v>
      </c>
      <c r="X57" s="362">
        <f t="shared" si="4"/>
        <v>0</v>
      </c>
      <c r="Y57" s="294">
        <f t="shared" ca="1" si="5"/>
        <v>46104</v>
      </c>
      <c r="Z57" s="371"/>
      <c r="AA57" s="249"/>
      <c r="AB57" s="391">
        <f t="shared" ca="1" si="6"/>
        <v>-46104</v>
      </c>
    </row>
    <row r="58" spans="1:28" s="7" customFormat="1" ht="107.25" hidden="1" customHeight="1" x14ac:dyDescent="1.95">
      <c r="A58" s="72">
        <f>'MODIFICAR CODIGOS '!A58</f>
        <v>0</v>
      </c>
      <c r="B58" s="264">
        <f>'MODIFICAR CODIGOS '!B58</f>
        <v>0</v>
      </c>
      <c r="C58" s="274">
        <f>'MODIFICAR CODIGOS '!C58</f>
        <v>0</v>
      </c>
      <c r="D58" s="72">
        <f>'MODIFICAR CODIGOS '!D58</f>
        <v>0</v>
      </c>
      <c r="E58" s="275">
        <f>'MODIFICAR CODIGOS '!E58</f>
        <v>1</v>
      </c>
      <c r="F58" s="220"/>
      <c r="G58" s="147"/>
      <c r="H58" s="147"/>
      <c r="I58" s="147"/>
      <c r="J58" s="147"/>
      <c r="K58" s="219"/>
      <c r="L58" s="220"/>
      <c r="M58" s="147"/>
      <c r="N58" s="147"/>
      <c r="O58" s="219"/>
      <c r="P58" s="143"/>
      <c r="Q58" s="147"/>
      <c r="R58" s="141"/>
      <c r="S58" s="220"/>
      <c r="T58" s="219"/>
      <c r="U58" s="357">
        <f t="shared" si="0"/>
        <v>0</v>
      </c>
      <c r="V58" s="365">
        <f t="shared" si="2"/>
        <v>0</v>
      </c>
      <c r="W58" s="366">
        <f t="shared" si="3"/>
        <v>0</v>
      </c>
      <c r="X58" s="362">
        <f t="shared" si="4"/>
        <v>0</v>
      </c>
      <c r="Y58" s="294">
        <f t="shared" ca="1" si="5"/>
        <v>46104</v>
      </c>
      <c r="Z58" s="371"/>
      <c r="AA58" s="249"/>
      <c r="AB58" s="391">
        <f t="shared" ca="1" si="6"/>
        <v>-46104</v>
      </c>
    </row>
    <row r="59" spans="1:28" s="7" customFormat="1" ht="107.25" hidden="1" customHeight="1" x14ac:dyDescent="1.95">
      <c r="A59" s="72">
        <f>'MODIFICAR CODIGOS '!A59</f>
        <v>0</v>
      </c>
      <c r="B59" s="264">
        <f>'MODIFICAR CODIGOS '!B59</f>
        <v>0</v>
      </c>
      <c r="C59" s="274">
        <f>'MODIFICAR CODIGOS '!C59</f>
        <v>0</v>
      </c>
      <c r="D59" s="72">
        <f>'MODIFICAR CODIGOS '!D59</f>
        <v>0</v>
      </c>
      <c r="E59" s="275">
        <f>'MODIFICAR CODIGOS '!E59</f>
        <v>1</v>
      </c>
      <c r="F59" s="220"/>
      <c r="G59" s="147"/>
      <c r="H59" s="147"/>
      <c r="I59" s="147"/>
      <c r="J59" s="147"/>
      <c r="K59" s="219"/>
      <c r="L59" s="220"/>
      <c r="M59" s="147"/>
      <c r="N59" s="147"/>
      <c r="O59" s="219"/>
      <c r="P59" s="143"/>
      <c r="Q59" s="147"/>
      <c r="R59" s="141"/>
      <c r="S59" s="220"/>
      <c r="T59" s="219"/>
      <c r="U59" s="357">
        <f t="shared" si="0"/>
        <v>0</v>
      </c>
      <c r="V59" s="365">
        <f t="shared" si="2"/>
        <v>0</v>
      </c>
      <c r="W59" s="366">
        <f t="shared" si="3"/>
        <v>0</v>
      </c>
      <c r="X59" s="362">
        <f t="shared" si="4"/>
        <v>0</v>
      </c>
      <c r="Y59" s="294">
        <f t="shared" ca="1" si="5"/>
        <v>46104</v>
      </c>
      <c r="Z59" s="371"/>
      <c r="AA59" s="249"/>
      <c r="AB59" s="391">
        <f t="shared" ca="1" si="6"/>
        <v>-46104</v>
      </c>
    </row>
    <row r="60" spans="1:28" s="7" customFormat="1" ht="107.25" hidden="1" customHeight="1" thickBot="1" x14ac:dyDescent="2">
      <c r="A60" s="72">
        <f>'MODIFICAR CODIGOS '!A60</f>
        <v>0</v>
      </c>
      <c r="B60" s="264">
        <f>'MODIFICAR CODIGOS '!B60</f>
        <v>0</v>
      </c>
      <c r="C60" s="274">
        <f>'MODIFICAR CODIGOS '!C60</f>
        <v>0</v>
      </c>
      <c r="D60" s="72">
        <f>'MODIFICAR CODIGOS '!D60</f>
        <v>0</v>
      </c>
      <c r="E60" s="275">
        <f>'MODIFICAR CODIGOS '!E60</f>
        <v>1</v>
      </c>
      <c r="F60" s="220"/>
      <c r="G60" s="147"/>
      <c r="H60" s="147"/>
      <c r="I60" s="147"/>
      <c r="J60" s="147"/>
      <c r="K60" s="219"/>
      <c r="L60" s="220"/>
      <c r="M60" s="147"/>
      <c r="N60" s="147"/>
      <c r="O60" s="219"/>
      <c r="P60" s="143"/>
      <c r="Q60" s="147"/>
      <c r="R60" s="141"/>
      <c r="S60" s="220"/>
      <c r="T60" s="219"/>
      <c r="U60" s="357">
        <f t="shared" si="0"/>
        <v>0</v>
      </c>
      <c r="V60" s="365">
        <f t="shared" si="2"/>
        <v>0</v>
      </c>
      <c r="W60" s="366">
        <f t="shared" si="3"/>
        <v>0</v>
      </c>
      <c r="X60" s="362">
        <f t="shared" si="4"/>
        <v>0</v>
      </c>
      <c r="Y60" s="294">
        <f t="shared" ca="1" si="5"/>
        <v>46104</v>
      </c>
      <c r="Z60" s="371"/>
      <c r="AA60" s="249"/>
      <c r="AB60" s="391">
        <f t="shared" ca="1" si="6"/>
        <v>-46104</v>
      </c>
    </row>
    <row r="61" spans="1:28" s="7" customFormat="1" ht="108" customHeight="1" thickBot="1" x14ac:dyDescent="2">
      <c r="A61" s="55" t="s">
        <v>0</v>
      </c>
      <c r="B61" s="263" t="s">
        <v>1</v>
      </c>
      <c r="C61" s="280" t="s">
        <v>114</v>
      </c>
      <c r="D61" s="57" t="s">
        <v>115</v>
      </c>
      <c r="E61" s="281" t="s">
        <v>406</v>
      </c>
      <c r="F61" s="399" t="s">
        <v>408</v>
      </c>
      <c r="G61" s="400"/>
      <c r="H61" s="400"/>
      <c r="I61" s="400"/>
      <c r="J61" s="400"/>
      <c r="K61" s="401"/>
      <c r="L61" s="402" t="s">
        <v>409</v>
      </c>
      <c r="M61" s="403"/>
      <c r="N61" s="403"/>
      <c r="O61" s="404"/>
      <c r="P61" s="405" t="s">
        <v>411</v>
      </c>
      <c r="Q61" s="405"/>
      <c r="R61" s="405"/>
      <c r="S61" s="402" t="s">
        <v>410</v>
      </c>
      <c r="T61" s="404"/>
      <c r="U61" s="358" t="s">
        <v>2</v>
      </c>
      <c r="V61" s="365" t="e">
        <f t="shared" si="2"/>
        <v>#VALUE!</v>
      </c>
      <c r="W61" s="366" t="e">
        <f t="shared" si="3"/>
        <v>#VALUE!</v>
      </c>
      <c r="X61" s="369" t="s">
        <v>478</v>
      </c>
      <c r="Y61" s="253" t="s">
        <v>412</v>
      </c>
      <c r="Z61" s="374"/>
      <c r="AA61" s="386" t="s">
        <v>413</v>
      </c>
      <c r="AB61" s="392" t="s">
        <v>479</v>
      </c>
    </row>
    <row r="62" spans="1:28" s="7" customFormat="1" ht="107.25" hidden="1" customHeight="1" x14ac:dyDescent="1.95">
      <c r="A62" s="16">
        <f>'MODIFICAR CODIGOS '!A62</f>
        <v>0</v>
      </c>
      <c r="B62" s="267">
        <f>'MODIFICAR CODIGOS '!B62</f>
        <v>0</v>
      </c>
      <c r="C62" s="282">
        <f>'MODIFICAR CODIGOS '!C62</f>
        <v>0</v>
      </c>
      <c r="D62" s="16">
        <f>'MODIFICAR CODIGOS '!D62</f>
        <v>0</v>
      </c>
      <c r="E62" s="16">
        <f>'MODIFICAR CODIGOS '!E62</f>
        <v>1</v>
      </c>
      <c r="F62" s="220"/>
      <c r="G62" s="147"/>
      <c r="H62" s="147"/>
      <c r="I62" s="147"/>
      <c r="J62" s="147"/>
      <c r="K62" s="219"/>
      <c r="L62" s="220"/>
      <c r="M62" s="147"/>
      <c r="N62" s="147"/>
      <c r="O62" s="219"/>
      <c r="P62" s="143"/>
      <c r="Q62" s="147"/>
      <c r="R62" s="141"/>
      <c r="S62" s="220"/>
      <c r="T62" s="219"/>
      <c r="U62" s="212">
        <f>(F62*C62+G62*C62+H62*C62+I62*C62+J62*C62+K62*C62+L62*D62+M62*D62+N62*D62+O62*D62+P62*1+Q62*1+R62*1+(TRUNC((S62+T62)/E62)))+(((S62+T62)/E62-TRUNC((S62+T62)/E62))*E62)/100</f>
        <v>0</v>
      </c>
      <c r="V62" s="365">
        <f t="shared" si="2"/>
        <v>0</v>
      </c>
      <c r="W62" s="366">
        <f t="shared" si="3"/>
        <v>0</v>
      </c>
      <c r="X62" s="362">
        <f t="shared" ref="X62:X125" si="7">V62+W62/E62</f>
        <v>0</v>
      </c>
      <c r="Y62" s="294">
        <f ca="1">TODAY()</f>
        <v>46104</v>
      </c>
      <c r="Z62" s="375"/>
      <c r="AA62" s="249"/>
      <c r="AB62" s="391">
        <f t="shared" ca="1" si="6"/>
        <v>-46104</v>
      </c>
    </row>
    <row r="63" spans="1:28" s="7" customFormat="1" ht="108" customHeight="1" x14ac:dyDescent="1.95">
      <c r="A63" s="16">
        <f>'MODIFICAR CODIGOS '!A63</f>
        <v>135662</v>
      </c>
      <c r="B63" s="268" t="str">
        <f>'MODIFICAR CODIGOS '!B63</f>
        <v>COCA-COLA 3 LITROS PET(6) Nvo</v>
      </c>
      <c r="C63" s="282">
        <f>'MODIFICAR CODIGOS '!C63</f>
        <v>60</v>
      </c>
      <c r="D63" s="16">
        <f>'MODIFICAR CODIGOS '!D63</f>
        <v>15</v>
      </c>
      <c r="E63" s="16">
        <f>'MODIFICAR CODIGOS '!E63</f>
        <v>6</v>
      </c>
      <c r="F63" s="220"/>
      <c r="G63" s="147"/>
      <c r="H63" s="147"/>
      <c r="I63" s="147">
        <v>11</v>
      </c>
      <c r="J63" s="147">
        <v>5</v>
      </c>
      <c r="K63" s="219"/>
      <c r="L63" s="220"/>
      <c r="M63" s="147"/>
      <c r="N63" s="147"/>
      <c r="O63" s="219"/>
      <c r="P63" s="143"/>
      <c r="Q63" s="147">
        <v>7</v>
      </c>
      <c r="R63" s="141"/>
      <c r="S63" s="220">
        <v>2</v>
      </c>
      <c r="T63" s="219"/>
      <c r="U63" s="212">
        <f t="shared" ref="U63:U125" si="8">(F63*C63+G63*C63+H63*C63+I63*C63+J63*C63+K63*C63+L63*D63+M63*D63+N63*D63+O63*D63+P63*1+Q63*1+R63*1+(TRUNC((S63+T63)/E63)))+(((S63+T63)/E63-TRUNC((S63+T63)/E63))*E63)/100</f>
        <v>967.02</v>
      </c>
      <c r="V63" s="365">
        <f t="shared" si="2"/>
        <v>967</v>
      </c>
      <c r="W63" s="366">
        <f t="shared" si="3"/>
        <v>2</v>
      </c>
      <c r="X63" s="362">
        <f t="shared" si="7"/>
        <v>967.33333333333337</v>
      </c>
      <c r="Y63" s="294">
        <f ca="1">TODAY()</f>
        <v>46104</v>
      </c>
      <c r="Z63" s="375"/>
      <c r="AA63" s="384"/>
      <c r="AB63" s="391">
        <f t="shared" ca="1" si="6"/>
        <v>-46104</v>
      </c>
    </row>
    <row r="64" spans="1:28" s="7" customFormat="1" ht="108" customHeight="1" x14ac:dyDescent="1.95">
      <c r="A64" s="16">
        <f>'MODIFICAR CODIGOS '!A64</f>
        <v>160124</v>
      </c>
      <c r="B64" s="268" t="str">
        <f>'MODIFICAR CODIGOS '!B64</f>
        <v>SPRITE 3 LTS PET (6)</v>
      </c>
      <c r="C64" s="282">
        <f>'MODIFICAR CODIGOS '!C64</f>
        <v>60</v>
      </c>
      <c r="D64" s="16">
        <f>'MODIFICAR CODIGOS '!D64</f>
        <v>15</v>
      </c>
      <c r="E64" s="16">
        <f>'MODIFICAR CODIGOS '!E64</f>
        <v>6</v>
      </c>
      <c r="F64" s="220"/>
      <c r="G64" s="147"/>
      <c r="H64" s="147"/>
      <c r="I64" s="147"/>
      <c r="J64" s="147"/>
      <c r="K64" s="219"/>
      <c r="L64" s="220"/>
      <c r="M64" s="147"/>
      <c r="N64" s="147"/>
      <c r="O64" s="219"/>
      <c r="P64" s="143"/>
      <c r="Q64" s="147"/>
      <c r="R64" s="141"/>
      <c r="S64" s="220"/>
      <c r="T64" s="219"/>
      <c r="U64" s="212">
        <f t="shared" si="8"/>
        <v>0</v>
      </c>
      <c r="V64" s="365">
        <f t="shared" si="2"/>
        <v>0</v>
      </c>
      <c r="W64" s="366">
        <f t="shared" si="3"/>
        <v>0</v>
      </c>
      <c r="X64" s="362">
        <f t="shared" si="7"/>
        <v>0</v>
      </c>
      <c r="Y64" s="294">
        <f t="shared" ref="Y64:Y125" ca="1" si="9">TODAY()</f>
        <v>46104</v>
      </c>
      <c r="Z64" s="375"/>
      <c r="AA64" s="384"/>
      <c r="AB64" s="391">
        <f t="shared" ca="1" si="6"/>
        <v>-46104</v>
      </c>
    </row>
    <row r="65" spans="1:28" s="7" customFormat="1" ht="108" customHeight="1" x14ac:dyDescent="1.95">
      <c r="A65" s="16">
        <f>'MODIFICAR CODIGOS '!A65</f>
        <v>56711</v>
      </c>
      <c r="B65" s="268" t="str">
        <f>'MODIFICAR CODIGOS '!B65</f>
        <v>QUATRO 3 LTS PET (6)</v>
      </c>
      <c r="C65" s="282">
        <f>'MODIFICAR CODIGOS '!C65</f>
        <v>60</v>
      </c>
      <c r="D65" s="16">
        <f>'MODIFICAR CODIGOS '!D65</f>
        <v>15</v>
      </c>
      <c r="E65" s="16">
        <f>'MODIFICAR CODIGOS '!E65</f>
        <v>6</v>
      </c>
      <c r="F65" s="220"/>
      <c r="G65" s="147"/>
      <c r="H65" s="147"/>
      <c r="I65" s="147"/>
      <c r="J65" s="147"/>
      <c r="K65" s="219"/>
      <c r="L65" s="220"/>
      <c r="M65" s="147"/>
      <c r="N65" s="147"/>
      <c r="O65" s="219">
        <v>3</v>
      </c>
      <c r="P65" s="143">
        <v>6</v>
      </c>
      <c r="Q65" s="147"/>
      <c r="R65" s="141"/>
      <c r="S65" s="220">
        <v>3</v>
      </c>
      <c r="T65" s="219"/>
      <c r="U65" s="212">
        <f t="shared" si="8"/>
        <v>51.03</v>
      </c>
      <c r="V65" s="365">
        <f t="shared" si="2"/>
        <v>51</v>
      </c>
      <c r="W65" s="366">
        <f t="shared" si="3"/>
        <v>3</v>
      </c>
      <c r="X65" s="362">
        <f t="shared" si="7"/>
        <v>51.5</v>
      </c>
      <c r="Y65" s="294">
        <f t="shared" ca="1" si="9"/>
        <v>46104</v>
      </c>
      <c r="Z65" s="375"/>
      <c r="AA65" s="384"/>
      <c r="AB65" s="391">
        <f t="shared" ca="1" si="6"/>
        <v>-46104</v>
      </c>
    </row>
    <row r="66" spans="1:28" s="7" customFormat="1" ht="108" customHeight="1" x14ac:dyDescent="1.95">
      <c r="A66" s="16">
        <f>'MODIFICAR CODIGOS '!A66</f>
        <v>56625</v>
      </c>
      <c r="B66" s="268" t="str">
        <f>'MODIFICAR CODIGOS '!B66</f>
        <v>PREMIO ROJO 3 LTS  PET (6)</v>
      </c>
      <c r="C66" s="282">
        <f>'MODIFICAR CODIGOS '!C66</f>
        <v>60</v>
      </c>
      <c r="D66" s="307">
        <f>'MODIFICAR CODIGOS '!D66</f>
        <v>15</v>
      </c>
      <c r="E66" s="16">
        <f>'MODIFICAR CODIGOS '!E66</f>
        <v>6</v>
      </c>
      <c r="F66" s="220"/>
      <c r="G66" s="147"/>
      <c r="H66" s="147"/>
      <c r="I66" s="147"/>
      <c r="J66" s="147"/>
      <c r="K66" s="219"/>
      <c r="L66" s="220"/>
      <c r="M66" s="147"/>
      <c r="N66" s="147"/>
      <c r="O66" s="219"/>
      <c r="P66" s="143"/>
      <c r="Q66" s="147">
        <v>3</v>
      </c>
      <c r="R66" s="141"/>
      <c r="S66" s="220">
        <v>2</v>
      </c>
      <c r="T66" s="219"/>
      <c r="U66" s="212">
        <f t="shared" si="8"/>
        <v>3.02</v>
      </c>
      <c r="V66" s="365">
        <f t="shared" si="2"/>
        <v>3</v>
      </c>
      <c r="W66" s="366">
        <f t="shared" si="3"/>
        <v>2</v>
      </c>
      <c r="X66" s="362">
        <f t="shared" si="7"/>
        <v>3.3333333333333335</v>
      </c>
      <c r="Y66" s="294">
        <f t="shared" ca="1" si="9"/>
        <v>46104</v>
      </c>
      <c r="Z66" s="375"/>
      <c r="AA66" s="384"/>
      <c r="AB66" s="391">
        <f t="shared" ca="1" si="6"/>
        <v>-46104</v>
      </c>
    </row>
    <row r="67" spans="1:28" s="7" customFormat="1" ht="108" customHeight="1" x14ac:dyDescent="1.95">
      <c r="A67" s="16" t="s">
        <v>396</v>
      </c>
      <c r="B67" s="268"/>
      <c r="C67" s="309"/>
      <c r="D67" s="311"/>
      <c r="E67" s="310"/>
      <c r="F67" s="221"/>
      <c r="G67" s="151"/>
      <c r="H67" s="151"/>
      <c r="I67" s="151"/>
      <c r="J67" s="151"/>
      <c r="K67" s="222"/>
      <c r="L67" s="221"/>
      <c r="M67" s="151"/>
      <c r="N67" s="151"/>
      <c r="O67" s="222"/>
      <c r="P67" s="151"/>
      <c r="Q67" s="151"/>
      <c r="R67" s="151"/>
      <c r="S67" s="221"/>
      <c r="T67" s="222"/>
      <c r="U67" s="212"/>
      <c r="V67" s="365" t="e">
        <f t="shared" ref="V67:V130" si="10">(F67*C67+G67*C67+H67*C67+I67*C67+J67*C67+K67*C67+L67*D67+M67*D67+N67*D67+O67*D67+P67*1+Q67*1+R67*1+(TRUNC((S67+T67)/E67)))</f>
        <v>#DIV/0!</v>
      </c>
      <c r="W67" s="366" t="e">
        <f t="shared" ref="W67:W130" si="11">(((S67+T67)/E67-TRUNC((S67+T67)/E67))*E67)</f>
        <v>#DIV/0!</v>
      </c>
      <c r="X67" s="362"/>
      <c r="Y67" s="294"/>
      <c r="Z67" s="376"/>
      <c r="AA67" s="250"/>
      <c r="AB67" s="391">
        <f t="shared" si="6"/>
        <v>0</v>
      </c>
    </row>
    <row r="68" spans="1:28" s="7" customFormat="1" ht="110.25" hidden="1" customHeight="1" x14ac:dyDescent="1.95">
      <c r="A68" s="16">
        <f>'MODIFICAR CODIGOS '!A68</f>
        <v>0</v>
      </c>
      <c r="B68" s="267">
        <f>'MODIFICAR CODIGOS '!B68</f>
        <v>0</v>
      </c>
      <c r="C68" s="282">
        <f>'MODIFICAR CODIGOS '!C68</f>
        <v>0</v>
      </c>
      <c r="D68" s="308">
        <f>'MODIFICAR CODIGOS '!D68</f>
        <v>0</v>
      </c>
      <c r="E68" s="16">
        <f>'MODIFICAR CODIGOS '!E68</f>
        <v>1</v>
      </c>
      <c r="F68" s="227"/>
      <c r="G68" s="147"/>
      <c r="H68" s="147"/>
      <c r="I68" s="147"/>
      <c r="J68" s="147"/>
      <c r="K68" s="219"/>
      <c r="L68" s="220"/>
      <c r="M68" s="147"/>
      <c r="N68" s="147"/>
      <c r="O68" s="219"/>
      <c r="P68" s="143"/>
      <c r="Q68" s="147"/>
      <c r="R68" s="141"/>
      <c r="S68" s="220"/>
      <c r="T68" s="219"/>
      <c r="U68" s="212">
        <f t="shared" si="8"/>
        <v>0</v>
      </c>
      <c r="V68" s="365">
        <f t="shared" si="10"/>
        <v>0</v>
      </c>
      <c r="W68" s="366">
        <f t="shared" si="11"/>
        <v>0</v>
      </c>
      <c r="X68" s="362">
        <f t="shared" si="7"/>
        <v>0</v>
      </c>
      <c r="Y68" s="294">
        <f t="shared" ca="1" si="9"/>
        <v>46104</v>
      </c>
      <c r="Z68" s="375"/>
      <c r="AA68" s="249"/>
      <c r="AB68" s="391">
        <f t="shared" ca="1" si="6"/>
        <v>-46104</v>
      </c>
    </row>
    <row r="69" spans="1:28" s="7" customFormat="1" ht="108" customHeight="1" x14ac:dyDescent="1.95">
      <c r="A69" s="16">
        <f>'MODIFICAR CODIGOS '!A69</f>
        <v>135663</v>
      </c>
      <c r="B69" s="268" t="str">
        <f>'MODIFICAR CODIGOS '!B69</f>
        <v>CC PET 2.5LTNR 8 PK  Nvo</v>
      </c>
      <c r="C69" s="282">
        <f>'MODIFICAR CODIGOS '!C69</f>
        <v>60</v>
      </c>
      <c r="D69" s="16">
        <f>'MODIFICAR CODIGOS '!D69</f>
        <v>12</v>
      </c>
      <c r="E69" s="16">
        <f>'MODIFICAR CODIGOS '!E69</f>
        <v>8</v>
      </c>
      <c r="F69" s="227"/>
      <c r="G69" s="147"/>
      <c r="H69" s="147"/>
      <c r="I69" s="147"/>
      <c r="J69" s="147"/>
      <c r="K69" s="219"/>
      <c r="L69" s="220"/>
      <c r="M69" s="147"/>
      <c r="N69" s="147"/>
      <c r="O69" s="219"/>
      <c r="P69" s="143"/>
      <c r="Q69" s="147"/>
      <c r="R69" s="141"/>
      <c r="S69" s="220"/>
      <c r="T69" s="219"/>
      <c r="U69" s="212">
        <f t="shared" si="8"/>
        <v>0</v>
      </c>
      <c r="V69" s="365">
        <f t="shared" si="10"/>
        <v>0</v>
      </c>
      <c r="W69" s="366">
        <f t="shared" si="11"/>
        <v>0</v>
      </c>
      <c r="X69" s="362">
        <f t="shared" si="7"/>
        <v>0</v>
      </c>
      <c r="Y69" s="294">
        <f t="shared" ca="1" si="9"/>
        <v>46104</v>
      </c>
      <c r="Z69" s="375"/>
      <c r="AA69" s="384"/>
      <c r="AB69" s="391">
        <f t="shared" ca="1" si="6"/>
        <v>-46104</v>
      </c>
    </row>
    <row r="70" spans="1:28" s="7" customFormat="1" ht="107.4" x14ac:dyDescent="1.95">
      <c r="A70" s="16">
        <f>'MODIFICAR CODIGOS '!A70</f>
        <v>135755</v>
      </c>
      <c r="B70" s="268" t="str">
        <f>'MODIFICAR CODIGOS '!B70</f>
        <v>COCA COLA ZERO 2.5 LTS (8)</v>
      </c>
      <c r="C70" s="282">
        <f>'MODIFICAR CODIGOS '!C70</f>
        <v>60</v>
      </c>
      <c r="D70" s="16">
        <f>'MODIFICAR CODIGOS '!D70</f>
        <v>12</v>
      </c>
      <c r="E70" s="16">
        <f>'MODIFICAR CODIGOS '!E70</f>
        <v>8</v>
      </c>
      <c r="F70" s="220"/>
      <c r="G70" s="147"/>
      <c r="H70" s="147"/>
      <c r="I70" s="147"/>
      <c r="J70" s="147"/>
      <c r="K70" s="219"/>
      <c r="L70" s="220"/>
      <c r="M70" s="147"/>
      <c r="N70" s="147"/>
      <c r="O70" s="219"/>
      <c r="P70" s="143"/>
      <c r="Q70" s="147">
        <v>1</v>
      </c>
      <c r="R70" s="141"/>
      <c r="S70" s="220">
        <v>7</v>
      </c>
      <c r="T70" s="219"/>
      <c r="U70" s="212">
        <f t="shared" si="8"/>
        <v>1.07</v>
      </c>
      <c r="V70" s="365">
        <f t="shared" si="10"/>
        <v>1</v>
      </c>
      <c r="W70" s="366">
        <f t="shared" si="11"/>
        <v>7</v>
      </c>
      <c r="X70" s="362">
        <f t="shared" si="7"/>
        <v>1.875</v>
      </c>
      <c r="Y70" s="294">
        <f t="shared" ca="1" si="9"/>
        <v>46104</v>
      </c>
      <c r="Z70" s="375"/>
      <c r="AA70" s="384"/>
      <c r="AB70" s="391">
        <f t="shared" ca="1" si="6"/>
        <v>-46104</v>
      </c>
    </row>
    <row r="71" spans="1:28" s="7" customFormat="1" ht="107.4" x14ac:dyDescent="1.95">
      <c r="A71" s="16">
        <f>'MODIFICAR CODIGOS '!A71</f>
        <v>56820</v>
      </c>
      <c r="B71" s="267" t="str">
        <f>'MODIFICAR CODIGOS '!B71</f>
        <v>QUATRO CHOICE 2.5L PET (8)</v>
      </c>
      <c r="C71" s="282">
        <f>'MODIFICAR CODIGOS '!C71</f>
        <v>60</v>
      </c>
      <c r="D71" s="16">
        <f>'MODIFICAR CODIGOS '!D71</f>
        <v>12</v>
      </c>
      <c r="E71" s="16">
        <f>'MODIFICAR CODIGOS '!E71</f>
        <v>8</v>
      </c>
      <c r="F71" s="220"/>
      <c r="G71" s="147"/>
      <c r="H71" s="147"/>
      <c r="I71" s="147"/>
      <c r="J71" s="147"/>
      <c r="K71" s="219"/>
      <c r="L71" s="220"/>
      <c r="M71" s="147"/>
      <c r="N71" s="147"/>
      <c r="O71" s="219">
        <v>3</v>
      </c>
      <c r="P71" s="143">
        <v>1</v>
      </c>
      <c r="Q71" s="147"/>
      <c r="R71" s="141"/>
      <c r="S71" s="220">
        <v>3</v>
      </c>
      <c r="T71" s="219"/>
      <c r="U71" s="212">
        <f t="shared" si="8"/>
        <v>37.03</v>
      </c>
      <c r="V71" s="365">
        <f t="shared" si="10"/>
        <v>37</v>
      </c>
      <c r="W71" s="366">
        <f t="shared" si="11"/>
        <v>3</v>
      </c>
      <c r="X71" s="362">
        <f t="shared" si="7"/>
        <v>37.375</v>
      </c>
      <c r="Y71" s="294">
        <f t="shared" ca="1" si="9"/>
        <v>46104</v>
      </c>
      <c r="Z71" s="375"/>
      <c r="AA71" s="384"/>
      <c r="AB71" s="391">
        <f t="shared" ca="1" si="6"/>
        <v>-46104</v>
      </c>
    </row>
    <row r="72" spans="1:28" s="7" customFormat="1" ht="107.25" hidden="1" customHeight="1" x14ac:dyDescent="1.95">
      <c r="A72" s="16">
        <f>'MODIFICAR CODIGOS '!A72</f>
        <v>0</v>
      </c>
      <c r="B72" s="267">
        <f>'MODIFICAR CODIGOS '!B72</f>
        <v>0</v>
      </c>
      <c r="C72" s="282">
        <f>'MODIFICAR CODIGOS '!C72</f>
        <v>0</v>
      </c>
      <c r="D72" s="16">
        <f>'MODIFICAR CODIGOS '!D72</f>
        <v>0</v>
      </c>
      <c r="E72" s="16">
        <f>'MODIFICAR CODIGOS '!E72</f>
        <v>1</v>
      </c>
      <c r="F72" s="220"/>
      <c r="G72" s="147"/>
      <c r="H72" s="147"/>
      <c r="I72" s="147"/>
      <c r="J72" s="147"/>
      <c r="K72" s="219"/>
      <c r="L72" s="220"/>
      <c r="M72" s="147"/>
      <c r="N72" s="147"/>
      <c r="O72" s="219"/>
      <c r="P72" s="143"/>
      <c r="Q72" s="147"/>
      <c r="R72" s="141"/>
      <c r="S72" s="220"/>
      <c r="T72" s="219"/>
      <c r="U72" s="212">
        <f t="shared" si="8"/>
        <v>0</v>
      </c>
      <c r="V72" s="365">
        <f t="shared" si="10"/>
        <v>0</v>
      </c>
      <c r="W72" s="366">
        <f t="shared" si="11"/>
        <v>0</v>
      </c>
      <c r="X72" s="362">
        <f t="shared" si="7"/>
        <v>0</v>
      </c>
      <c r="Y72" s="294">
        <f t="shared" ca="1" si="9"/>
        <v>46104</v>
      </c>
      <c r="Z72" s="375"/>
      <c r="AA72" s="249"/>
      <c r="AB72" s="391">
        <f t="shared" ca="1" si="6"/>
        <v>-46104</v>
      </c>
    </row>
    <row r="73" spans="1:28" s="7" customFormat="1" ht="107.25" hidden="1" customHeight="1" x14ac:dyDescent="1.95">
      <c r="A73" s="16">
        <f>'MODIFICAR CODIGOS '!A73</f>
        <v>0</v>
      </c>
      <c r="B73" s="267">
        <f>'MODIFICAR CODIGOS '!B73</f>
        <v>0</v>
      </c>
      <c r="C73" s="282">
        <f>'MODIFICAR CODIGOS '!C73</f>
        <v>0</v>
      </c>
      <c r="D73" s="307">
        <f>'MODIFICAR CODIGOS '!D73</f>
        <v>0</v>
      </c>
      <c r="E73" s="16">
        <f>'MODIFICAR CODIGOS '!E73</f>
        <v>1</v>
      </c>
      <c r="F73" s="228"/>
      <c r="G73" s="209"/>
      <c r="H73" s="209"/>
      <c r="I73" s="209"/>
      <c r="J73" s="209"/>
      <c r="K73" s="229"/>
      <c r="L73" s="228"/>
      <c r="M73" s="209"/>
      <c r="N73" s="209"/>
      <c r="O73" s="229"/>
      <c r="P73" s="145"/>
      <c r="Q73" s="209"/>
      <c r="R73" s="144"/>
      <c r="S73" s="228"/>
      <c r="T73" s="229"/>
      <c r="U73" s="212">
        <f t="shared" si="8"/>
        <v>0</v>
      </c>
      <c r="V73" s="365">
        <f t="shared" si="10"/>
        <v>0</v>
      </c>
      <c r="W73" s="366">
        <f t="shared" si="11"/>
        <v>0</v>
      </c>
      <c r="X73" s="362">
        <f t="shared" si="7"/>
        <v>0</v>
      </c>
      <c r="Y73" s="294">
        <f t="shared" ca="1" si="9"/>
        <v>46104</v>
      </c>
      <c r="Z73" s="377"/>
      <c r="AA73" s="254"/>
      <c r="AB73" s="391">
        <f t="shared" ca="1" si="6"/>
        <v>-46104</v>
      </c>
    </row>
    <row r="74" spans="1:28" s="7" customFormat="1" ht="108" customHeight="1" x14ac:dyDescent="1.95">
      <c r="A74" s="16" t="s">
        <v>396</v>
      </c>
      <c r="B74" s="267"/>
      <c r="C74" s="309"/>
      <c r="D74" s="311"/>
      <c r="E74" s="310"/>
      <c r="F74" s="230"/>
      <c r="G74" s="142"/>
      <c r="H74" s="142"/>
      <c r="I74" s="142"/>
      <c r="J74" s="142"/>
      <c r="K74" s="231"/>
      <c r="L74" s="230"/>
      <c r="M74" s="142"/>
      <c r="N74" s="142"/>
      <c r="O74" s="231"/>
      <c r="P74" s="142"/>
      <c r="Q74" s="142"/>
      <c r="R74" s="142"/>
      <c r="S74" s="230"/>
      <c r="T74" s="231"/>
      <c r="U74" s="212"/>
      <c r="V74" s="365" t="e">
        <f t="shared" si="10"/>
        <v>#DIV/0!</v>
      </c>
      <c r="W74" s="366" t="e">
        <f t="shared" si="11"/>
        <v>#DIV/0!</v>
      </c>
      <c r="X74" s="362"/>
      <c r="Y74" s="294"/>
      <c r="Z74" s="375"/>
      <c r="AA74" s="255"/>
      <c r="AB74" s="391">
        <f t="shared" si="6"/>
        <v>0</v>
      </c>
    </row>
    <row r="75" spans="1:28" s="7" customFormat="1" ht="108" customHeight="1" x14ac:dyDescent="1.95">
      <c r="A75" s="16">
        <f>'MODIFICAR CODIGOS '!A75</f>
        <v>160040</v>
      </c>
      <c r="B75" s="268" t="str">
        <f>'MODIFICAR CODIGOS '!B75</f>
        <v>COCA-COLA 20 OZ PET(15)</v>
      </c>
      <c r="C75" s="282">
        <f>'MODIFICAR CODIGOS '!C75</f>
        <v>119</v>
      </c>
      <c r="D75" s="308">
        <f>'MODIFICAR CODIGOS '!D75</f>
        <v>17</v>
      </c>
      <c r="E75" s="16">
        <f>'MODIFICAR CODIGOS '!E75</f>
        <v>15</v>
      </c>
      <c r="F75" s="232"/>
      <c r="G75" s="146"/>
      <c r="H75" s="146"/>
      <c r="I75" s="146"/>
      <c r="J75" s="146"/>
      <c r="K75" s="233"/>
      <c r="L75" s="232"/>
      <c r="M75" s="146"/>
      <c r="N75" s="146"/>
      <c r="O75" s="233"/>
      <c r="P75" s="150"/>
      <c r="Q75" s="146">
        <v>1</v>
      </c>
      <c r="R75" s="148"/>
      <c r="S75" s="232"/>
      <c r="T75" s="233"/>
      <c r="U75" s="212">
        <f t="shared" si="8"/>
        <v>1</v>
      </c>
      <c r="V75" s="365">
        <f t="shared" si="10"/>
        <v>1</v>
      </c>
      <c r="W75" s="366">
        <f t="shared" si="11"/>
        <v>0</v>
      </c>
      <c r="X75" s="362">
        <f t="shared" si="7"/>
        <v>1</v>
      </c>
      <c r="Y75" s="294">
        <f t="shared" ca="1" si="9"/>
        <v>46104</v>
      </c>
      <c r="Z75" s="378"/>
      <c r="AA75" s="387"/>
      <c r="AB75" s="391">
        <f t="shared" ca="1" si="6"/>
        <v>-46104</v>
      </c>
    </row>
    <row r="76" spans="1:28" s="7" customFormat="1" ht="107.4" x14ac:dyDescent="1.95">
      <c r="A76" s="16">
        <f>'MODIFICAR CODIGOS '!A76</f>
        <v>135759</v>
      </c>
      <c r="B76" s="268" t="str">
        <f>'MODIFICAR CODIGOS '!B76</f>
        <v>COCA-COLA ZERO 20 OZ PET(15)</v>
      </c>
      <c r="C76" s="282">
        <f>'MODIFICAR CODIGOS '!C76</f>
        <v>119</v>
      </c>
      <c r="D76" s="16">
        <f>'MODIFICAR CODIGOS '!D76</f>
        <v>17</v>
      </c>
      <c r="E76" s="16">
        <f>'MODIFICAR CODIGOS '!E76</f>
        <v>15</v>
      </c>
      <c r="F76" s="220"/>
      <c r="G76" s="147"/>
      <c r="H76" s="147"/>
      <c r="I76" s="147"/>
      <c r="J76" s="147"/>
      <c r="K76" s="219"/>
      <c r="L76" s="220"/>
      <c r="M76" s="147"/>
      <c r="N76" s="147"/>
      <c r="O76" s="219"/>
      <c r="P76" s="143"/>
      <c r="Q76" s="147">
        <v>21</v>
      </c>
      <c r="R76" s="141"/>
      <c r="S76" s="220"/>
      <c r="T76" s="219"/>
      <c r="U76" s="212">
        <f t="shared" si="8"/>
        <v>21</v>
      </c>
      <c r="V76" s="365">
        <f t="shared" si="10"/>
        <v>21</v>
      </c>
      <c r="W76" s="366">
        <f t="shared" si="11"/>
        <v>0</v>
      </c>
      <c r="X76" s="362">
        <f t="shared" si="7"/>
        <v>21</v>
      </c>
      <c r="Y76" s="294">
        <f t="shared" ca="1" si="9"/>
        <v>46104</v>
      </c>
      <c r="Z76" s="375"/>
      <c r="AA76" s="384"/>
      <c r="AB76" s="391">
        <f t="shared" ca="1" si="6"/>
        <v>-46104</v>
      </c>
    </row>
    <row r="77" spans="1:28" s="7" customFormat="1" ht="107.4" hidden="1" x14ac:dyDescent="1.95">
      <c r="A77" s="16">
        <f>'MODIFICAR CODIGOS '!A77</f>
        <v>0</v>
      </c>
      <c r="B77" s="268">
        <f>'MODIFICAR CODIGOS '!B77</f>
        <v>0</v>
      </c>
      <c r="C77" s="282">
        <f>'MODIFICAR CODIGOS '!C77</f>
        <v>0</v>
      </c>
      <c r="D77" s="16">
        <f>'MODIFICAR CODIGOS '!D77</f>
        <v>0</v>
      </c>
      <c r="E77" s="16">
        <f>'MODIFICAR CODIGOS '!E77</f>
        <v>1</v>
      </c>
      <c r="F77" s="220"/>
      <c r="G77" s="147"/>
      <c r="H77" s="147"/>
      <c r="I77" s="147"/>
      <c r="J77" s="147"/>
      <c r="K77" s="219"/>
      <c r="L77" s="220"/>
      <c r="M77" s="147"/>
      <c r="N77" s="147"/>
      <c r="O77" s="219"/>
      <c r="P77" s="143"/>
      <c r="Q77" s="147"/>
      <c r="R77" s="141"/>
      <c r="S77" s="220"/>
      <c r="T77" s="219"/>
      <c r="U77" s="212">
        <f t="shared" si="8"/>
        <v>0</v>
      </c>
      <c r="V77" s="365">
        <f t="shared" si="10"/>
        <v>0</v>
      </c>
      <c r="W77" s="366">
        <f t="shared" si="11"/>
        <v>0</v>
      </c>
      <c r="X77" s="362">
        <f t="shared" si="7"/>
        <v>0</v>
      </c>
      <c r="Y77" s="294">
        <f t="shared" ca="1" si="9"/>
        <v>46104</v>
      </c>
      <c r="Z77" s="375"/>
      <c r="AA77" s="384"/>
      <c r="AB77" s="391">
        <f t="shared" ca="1" si="6"/>
        <v>-46104</v>
      </c>
    </row>
    <row r="78" spans="1:28" s="7" customFormat="1" ht="107.4" hidden="1" x14ac:dyDescent="1.95">
      <c r="A78" s="16">
        <f>'MODIFICAR CODIGOS '!A78</f>
        <v>0</v>
      </c>
      <c r="B78" s="267">
        <f>'MODIFICAR CODIGOS '!B78</f>
        <v>0</v>
      </c>
      <c r="C78" s="282">
        <f>'MODIFICAR CODIGOS '!C78</f>
        <v>0</v>
      </c>
      <c r="D78" s="307">
        <f>'MODIFICAR CODIGOS '!D78</f>
        <v>0</v>
      </c>
      <c r="E78" s="16">
        <f>'MODIFICAR CODIGOS '!E78</f>
        <v>1</v>
      </c>
      <c r="F78" s="220"/>
      <c r="G78" s="147"/>
      <c r="H78" s="147"/>
      <c r="I78" s="147"/>
      <c r="J78" s="147"/>
      <c r="K78" s="219"/>
      <c r="L78" s="220"/>
      <c r="M78" s="147"/>
      <c r="N78" s="147"/>
      <c r="O78" s="219"/>
      <c r="P78" s="143"/>
      <c r="Q78" s="147"/>
      <c r="R78" s="141"/>
      <c r="S78" s="220"/>
      <c r="T78" s="219"/>
      <c r="U78" s="212">
        <f t="shared" si="8"/>
        <v>0</v>
      </c>
      <c r="V78" s="365">
        <f t="shared" si="10"/>
        <v>0</v>
      </c>
      <c r="W78" s="366">
        <f t="shared" si="11"/>
        <v>0</v>
      </c>
      <c r="X78" s="362">
        <f t="shared" si="7"/>
        <v>0</v>
      </c>
      <c r="Y78" s="294">
        <f t="shared" ca="1" si="9"/>
        <v>46104</v>
      </c>
      <c r="Z78" s="375"/>
      <c r="AA78" s="384"/>
      <c r="AB78" s="391">
        <f t="shared" ca="1" si="6"/>
        <v>-46104</v>
      </c>
    </row>
    <row r="79" spans="1:28" s="7" customFormat="1" ht="108" customHeight="1" x14ac:dyDescent="1.95">
      <c r="A79" s="16" t="s">
        <v>396</v>
      </c>
      <c r="B79" s="268"/>
      <c r="C79" s="309"/>
      <c r="D79" s="311"/>
      <c r="E79" s="310"/>
      <c r="F79" s="230"/>
      <c r="G79" s="142"/>
      <c r="H79" s="142"/>
      <c r="I79" s="142"/>
      <c r="J79" s="142"/>
      <c r="K79" s="231"/>
      <c r="L79" s="230"/>
      <c r="M79" s="142"/>
      <c r="N79" s="142"/>
      <c r="O79" s="231"/>
      <c r="P79" s="142"/>
      <c r="Q79" s="142"/>
      <c r="R79" s="142"/>
      <c r="S79" s="230"/>
      <c r="T79" s="142"/>
      <c r="U79" s="348"/>
      <c r="V79" s="365" t="e">
        <f t="shared" si="10"/>
        <v>#DIV/0!</v>
      </c>
      <c r="W79" s="366" t="e">
        <f t="shared" si="11"/>
        <v>#DIV/0!</v>
      </c>
      <c r="X79" s="394"/>
      <c r="Y79" s="395"/>
      <c r="Z79" s="375"/>
      <c r="AA79" s="255"/>
      <c r="AB79" s="391">
        <f t="shared" si="6"/>
        <v>0</v>
      </c>
    </row>
    <row r="80" spans="1:28" s="7" customFormat="1" ht="108" customHeight="1" x14ac:dyDescent="1.95">
      <c r="A80" s="16">
        <f>'MODIFICAR CODIGOS '!A80</f>
        <v>135760</v>
      </c>
      <c r="B80" s="268" t="str">
        <f>'MODIFICAR CODIGOS '!B80</f>
        <v>COCA COLA SA 400ML</v>
      </c>
      <c r="C80" s="282">
        <f>'MODIFICAR CODIGOS '!C80</f>
        <v>240</v>
      </c>
      <c r="D80" s="308">
        <f>'MODIFICAR CODIGOS '!D80</f>
        <v>30</v>
      </c>
      <c r="E80" s="16">
        <f>'MODIFICAR CODIGOS '!E80</f>
        <v>12</v>
      </c>
      <c r="F80" s="220"/>
      <c r="G80" s="147"/>
      <c r="H80" s="147"/>
      <c r="I80" s="147">
        <v>1</v>
      </c>
      <c r="J80" s="147"/>
      <c r="K80" s="219"/>
      <c r="L80" s="220"/>
      <c r="M80" s="147"/>
      <c r="N80" s="147"/>
      <c r="O80" s="219">
        <v>2</v>
      </c>
      <c r="P80" s="143">
        <v>2</v>
      </c>
      <c r="Q80" s="147"/>
      <c r="R80" s="141"/>
      <c r="S80" s="220">
        <v>10</v>
      </c>
      <c r="T80" s="219"/>
      <c r="U80" s="212">
        <f t="shared" si="8"/>
        <v>302.10000000000002</v>
      </c>
      <c r="V80" s="365">
        <f t="shared" si="10"/>
        <v>302</v>
      </c>
      <c r="W80" s="366">
        <f t="shared" si="11"/>
        <v>10</v>
      </c>
      <c r="X80" s="362">
        <f t="shared" si="7"/>
        <v>302.83333333333331</v>
      </c>
      <c r="Y80" s="294">
        <f t="shared" ca="1" si="9"/>
        <v>46104</v>
      </c>
      <c r="Z80" s="375"/>
      <c r="AA80" s="384"/>
      <c r="AB80" s="391">
        <f t="shared" ca="1" si="6"/>
        <v>-46104</v>
      </c>
    </row>
    <row r="81" spans="1:28" s="7" customFormat="1" ht="108" customHeight="1" x14ac:dyDescent="1.95">
      <c r="A81" s="16">
        <f>'MODIFICAR CODIGOS '!A81</f>
        <v>160318</v>
      </c>
      <c r="B81" s="268" t="str">
        <f>'MODIFICAR CODIGOS '!B81</f>
        <v>COCA-COLA 400ml PET(12)</v>
      </c>
      <c r="C81" s="282">
        <f>'MODIFICAR CODIGOS '!C81</f>
        <v>240</v>
      </c>
      <c r="D81" s="307">
        <f>'MODIFICAR CODIGOS '!D81</f>
        <v>30</v>
      </c>
      <c r="E81" s="16">
        <f>'MODIFICAR CODIGOS '!E81</f>
        <v>12</v>
      </c>
      <c r="F81" s="220"/>
      <c r="G81" s="147">
        <v>1</v>
      </c>
      <c r="H81" s="147">
        <v>11</v>
      </c>
      <c r="I81" s="147"/>
      <c r="J81" s="147"/>
      <c r="K81" s="219"/>
      <c r="L81" s="220"/>
      <c r="M81" s="147"/>
      <c r="N81" s="147"/>
      <c r="O81" s="219">
        <v>7</v>
      </c>
      <c r="P81" s="143">
        <v>20</v>
      </c>
      <c r="Q81" s="147">
        <v>1</v>
      </c>
      <c r="R81" s="141"/>
      <c r="S81" s="220">
        <v>11</v>
      </c>
      <c r="T81" s="219"/>
      <c r="U81" s="212">
        <f t="shared" si="8"/>
        <v>3111.11</v>
      </c>
      <c r="V81" s="365">
        <f t="shared" si="10"/>
        <v>3111</v>
      </c>
      <c r="W81" s="366">
        <f t="shared" si="11"/>
        <v>11</v>
      </c>
      <c r="X81" s="362">
        <f t="shared" si="7"/>
        <v>3111.9166666666665</v>
      </c>
      <c r="Y81" s="294">
        <f t="shared" ca="1" si="9"/>
        <v>46104</v>
      </c>
      <c r="Z81" s="375"/>
      <c r="AA81" s="384"/>
      <c r="AB81" s="391">
        <f t="shared" ca="1" si="6"/>
        <v>-46104</v>
      </c>
    </row>
    <row r="82" spans="1:28" s="7" customFormat="1" ht="108" customHeight="1" x14ac:dyDescent="1.95">
      <c r="A82" s="16" t="s">
        <v>396</v>
      </c>
      <c r="B82" s="268"/>
      <c r="C82" s="309"/>
      <c r="D82" s="311"/>
      <c r="E82" s="310"/>
      <c r="F82" s="221"/>
      <c r="G82" s="151"/>
      <c r="H82" s="151"/>
      <c r="I82" s="151"/>
      <c r="J82" s="151"/>
      <c r="K82" s="222"/>
      <c r="L82" s="221"/>
      <c r="M82" s="151"/>
      <c r="N82" s="151"/>
      <c r="O82" s="222"/>
      <c r="P82" s="151"/>
      <c r="Q82" s="151"/>
      <c r="R82" s="151"/>
      <c r="S82" s="221"/>
      <c r="T82" s="151"/>
      <c r="U82" s="348"/>
      <c r="V82" s="365" t="e">
        <f t="shared" si="10"/>
        <v>#DIV/0!</v>
      </c>
      <c r="W82" s="366" t="e">
        <f t="shared" si="11"/>
        <v>#DIV/0!</v>
      </c>
      <c r="X82" s="394"/>
      <c r="Y82" s="395"/>
      <c r="Z82" s="376"/>
      <c r="AA82" s="250"/>
      <c r="AB82" s="391">
        <f t="shared" si="6"/>
        <v>0</v>
      </c>
    </row>
    <row r="83" spans="1:28" s="7" customFormat="1" ht="108" customHeight="1" x14ac:dyDescent="1.95">
      <c r="A83" s="16">
        <f>'MODIFICAR CODIGOS '!A83</f>
        <v>56452</v>
      </c>
      <c r="B83" s="268" t="str">
        <f>'MODIFICAR CODIGOS '!B83</f>
        <v>SCHWEPPES SODA 400ML PET (12)</v>
      </c>
      <c r="C83" s="282">
        <f>'MODIFICAR CODIGOS '!C83</f>
        <v>240</v>
      </c>
      <c r="D83" s="308">
        <f>'MODIFICAR CODIGOS '!D83</f>
        <v>30</v>
      </c>
      <c r="E83" s="16">
        <f>'MODIFICAR CODIGOS '!E83</f>
        <v>12</v>
      </c>
      <c r="F83" s="220"/>
      <c r="G83" s="147"/>
      <c r="H83" s="147"/>
      <c r="I83" s="147"/>
      <c r="J83" s="147"/>
      <c r="K83" s="219"/>
      <c r="L83" s="220"/>
      <c r="M83" s="147"/>
      <c r="N83" s="147"/>
      <c r="O83" s="219"/>
      <c r="P83" s="143"/>
      <c r="Q83" s="147">
        <v>43</v>
      </c>
      <c r="R83" s="141"/>
      <c r="S83" s="220">
        <v>7</v>
      </c>
      <c r="T83" s="219"/>
      <c r="U83" s="212">
        <f t="shared" si="8"/>
        <v>43.07</v>
      </c>
      <c r="V83" s="365">
        <f t="shared" si="10"/>
        <v>43</v>
      </c>
      <c r="W83" s="366">
        <f t="shared" si="11"/>
        <v>7</v>
      </c>
      <c r="X83" s="362">
        <f t="shared" si="7"/>
        <v>43.583333333333336</v>
      </c>
      <c r="Y83" s="294">
        <f t="shared" ca="1" si="9"/>
        <v>46104</v>
      </c>
      <c r="Z83" s="375"/>
      <c r="AA83" s="384"/>
      <c r="AB83" s="391">
        <f t="shared" ca="1" si="6"/>
        <v>-46104</v>
      </c>
    </row>
    <row r="84" spans="1:28" s="7" customFormat="1" ht="108" customHeight="1" x14ac:dyDescent="1.95">
      <c r="A84" s="16">
        <f>'MODIFICAR CODIGOS '!A84</f>
        <v>56453</v>
      </c>
      <c r="B84" s="268" t="str">
        <f>'MODIFICAR CODIGOS '!B84</f>
        <v>SCHWEPPES GINGER 400ML PET (12)</v>
      </c>
      <c r="C84" s="282">
        <f>'MODIFICAR CODIGOS '!C84</f>
        <v>240</v>
      </c>
      <c r="D84" s="16">
        <f>'MODIFICAR CODIGOS '!D84</f>
        <v>30</v>
      </c>
      <c r="E84" s="16">
        <f>'MODIFICAR CODIGOS '!E84</f>
        <v>12</v>
      </c>
      <c r="F84" s="220"/>
      <c r="G84" s="147"/>
      <c r="H84" s="147"/>
      <c r="I84" s="147"/>
      <c r="J84" s="147"/>
      <c r="K84" s="219"/>
      <c r="L84" s="220"/>
      <c r="M84" s="147"/>
      <c r="N84" s="147"/>
      <c r="O84" s="219"/>
      <c r="P84" s="143"/>
      <c r="Q84" s="147"/>
      <c r="R84" s="141"/>
      <c r="S84" s="220"/>
      <c r="T84" s="219"/>
      <c r="U84" s="212">
        <f t="shared" si="8"/>
        <v>0</v>
      </c>
      <c r="V84" s="365">
        <f t="shared" si="10"/>
        <v>0</v>
      </c>
      <c r="W84" s="366">
        <f t="shared" si="11"/>
        <v>0</v>
      </c>
      <c r="X84" s="362">
        <f t="shared" si="7"/>
        <v>0</v>
      </c>
      <c r="Y84" s="294">
        <f t="shared" ca="1" si="9"/>
        <v>46104</v>
      </c>
      <c r="Z84" s="375"/>
      <c r="AA84" s="384"/>
      <c r="AB84" s="391">
        <f t="shared" ca="1" si="6"/>
        <v>-46104</v>
      </c>
    </row>
    <row r="85" spans="1:28" s="7" customFormat="1" ht="108" customHeight="1" x14ac:dyDescent="1.95">
      <c r="A85" s="16">
        <f>'MODIFICAR CODIGOS '!A85</f>
        <v>160479</v>
      </c>
      <c r="B85" s="268" t="str">
        <f>'MODIFICAR CODIGOS '!B85</f>
        <v>KOLA ROMAN 400 ML NR (12)</v>
      </c>
      <c r="C85" s="282">
        <f>'MODIFICAR CODIGOS '!C85</f>
        <v>240</v>
      </c>
      <c r="D85" s="16">
        <f>'MODIFICAR CODIGOS '!D85</f>
        <v>30</v>
      </c>
      <c r="E85" s="16">
        <f>'MODIFICAR CODIGOS '!E85</f>
        <v>12</v>
      </c>
      <c r="F85" s="220"/>
      <c r="G85" s="147"/>
      <c r="H85" s="147"/>
      <c r="I85" s="147"/>
      <c r="J85" s="147"/>
      <c r="K85" s="219"/>
      <c r="L85" s="220"/>
      <c r="M85" s="147"/>
      <c r="N85" s="147"/>
      <c r="O85" s="219"/>
      <c r="P85" s="143"/>
      <c r="Q85" s="147">
        <v>8</v>
      </c>
      <c r="R85" s="141"/>
      <c r="S85" s="220">
        <v>8</v>
      </c>
      <c r="T85" s="219"/>
      <c r="U85" s="212">
        <f t="shared" si="8"/>
        <v>8.08</v>
      </c>
      <c r="V85" s="365">
        <f t="shared" si="10"/>
        <v>8</v>
      </c>
      <c r="W85" s="366">
        <f t="shared" si="11"/>
        <v>8</v>
      </c>
      <c r="X85" s="362">
        <f t="shared" si="7"/>
        <v>8.6666666666666661</v>
      </c>
      <c r="Y85" s="294">
        <f t="shared" ca="1" si="9"/>
        <v>46104</v>
      </c>
      <c r="Z85" s="375"/>
      <c r="AA85" s="384"/>
      <c r="AB85" s="391">
        <f t="shared" ca="1" si="6"/>
        <v>-46104</v>
      </c>
    </row>
    <row r="86" spans="1:28" s="7" customFormat="1" ht="107.25" hidden="1" customHeight="1" x14ac:dyDescent="1.95">
      <c r="A86" s="16">
        <f>'MODIFICAR CODIGOS '!A86</f>
        <v>0</v>
      </c>
      <c r="B86" s="267">
        <f>'MODIFICAR CODIGOS '!B86</f>
        <v>0</v>
      </c>
      <c r="C86" s="282">
        <f>'MODIFICAR CODIGOS '!C86</f>
        <v>240</v>
      </c>
      <c r="D86" s="16">
        <f>'MODIFICAR CODIGOS '!D86</f>
        <v>30</v>
      </c>
      <c r="E86" s="16">
        <f>'MODIFICAR CODIGOS '!E86</f>
        <v>0</v>
      </c>
      <c r="F86" s="220"/>
      <c r="G86" s="147"/>
      <c r="H86" s="147"/>
      <c r="I86" s="147"/>
      <c r="J86" s="147"/>
      <c r="K86" s="219"/>
      <c r="L86" s="220"/>
      <c r="M86" s="147"/>
      <c r="N86" s="147"/>
      <c r="O86" s="219"/>
      <c r="P86" s="143"/>
      <c r="Q86" s="147"/>
      <c r="R86" s="141"/>
      <c r="S86" s="220"/>
      <c r="T86" s="219"/>
      <c r="U86" s="212" t="e">
        <f t="shared" si="8"/>
        <v>#DIV/0!</v>
      </c>
      <c r="V86" s="365" t="e">
        <f t="shared" si="10"/>
        <v>#DIV/0!</v>
      </c>
      <c r="W86" s="366" t="e">
        <f t="shared" si="11"/>
        <v>#DIV/0!</v>
      </c>
      <c r="X86" s="362" t="e">
        <f t="shared" si="7"/>
        <v>#DIV/0!</v>
      </c>
      <c r="Y86" s="294">
        <f t="shared" ca="1" si="9"/>
        <v>46104</v>
      </c>
      <c r="Z86" s="375"/>
      <c r="AA86" s="249"/>
      <c r="AB86" s="391">
        <f t="shared" ca="1" si="6"/>
        <v>-46104</v>
      </c>
    </row>
    <row r="87" spans="1:28" s="7" customFormat="1" ht="108" customHeight="1" x14ac:dyDescent="1.95">
      <c r="A87" s="16">
        <f>'MODIFICAR CODIGOS '!A87</f>
        <v>56627</v>
      </c>
      <c r="B87" s="268" t="str">
        <f>'MODIFICAR CODIGOS '!B87</f>
        <v xml:space="preserve">PREMIO 400PET </v>
      </c>
      <c r="C87" s="282">
        <f>'MODIFICAR CODIGOS '!C87</f>
        <v>240</v>
      </c>
      <c r="D87" s="16">
        <f>'MODIFICAR CODIGOS '!D87</f>
        <v>30</v>
      </c>
      <c r="E87" s="16">
        <f>'MODIFICAR CODIGOS '!E87</f>
        <v>12</v>
      </c>
      <c r="F87" s="220"/>
      <c r="G87" s="147"/>
      <c r="H87" s="147"/>
      <c r="I87" s="147"/>
      <c r="J87" s="147"/>
      <c r="K87" s="219"/>
      <c r="L87" s="220"/>
      <c r="M87" s="147"/>
      <c r="N87" s="147"/>
      <c r="O87" s="219">
        <v>4</v>
      </c>
      <c r="P87" s="143">
        <v>3</v>
      </c>
      <c r="Q87" s="147"/>
      <c r="R87" s="141"/>
      <c r="S87" s="220">
        <v>6</v>
      </c>
      <c r="T87" s="219"/>
      <c r="U87" s="212">
        <f t="shared" si="8"/>
        <v>123.06</v>
      </c>
      <c r="V87" s="365">
        <f t="shared" si="10"/>
        <v>123</v>
      </c>
      <c r="W87" s="366">
        <f t="shared" si="11"/>
        <v>6</v>
      </c>
      <c r="X87" s="362">
        <f t="shared" si="7"/>
        <v>123.5</v>
      </c>
      <c r="Y87" s="294">
        <f t="shared" ca="1" si="9"/>
        <v>46104</v>
      </c>
      <c r="Z87" s="375"/>
      <c r="AA87" s="384"/>
      <c r="AB87" s="391">
        <f t="shared" ca="1" si="6"/>
        <v>-46104</v>
      </c>
    </row>
    <row r="88" spans="1:28" s="7" customFormat="1" ht="108" customHeight="1" x14ac:dyDescent="1.95">
      <c r="A88" s="16">
        <f>'MODIFICAR CODIGOS '!A88</f>
        <v>160297</v>
      </c>
      <c r="B88" s="268" t="str">
        <f>'MODIFICAR CODIGOS '!B88</f>
        <v>SPRITE 400PET</v>
      </c>
      <c r="C88" s="282">
        <f>'MODIFICAR CODIGOS '!C88</f>
        <v>240</v>
      </c>
      <c r="D88" s="16">
        <f>'MODIFICAR CODIGOS '!D88</f>
        <v>30</v>
      </c>
      <c r="E88" s="16">
        <f>'MODIFICAR CODIGOS '!E88</f>
        <v>12</v>
      </c>
      <c r="F88" s="220"/>
      <c r="G88" s="147"/>
      <c r="H88" s="147"/>
      <c r="I88" s="147"/>
      <c r="J88" s="147"/>
      <c r="K88" s="219"/>
      <c r="L88" s="220"/>
      <c r="M88" s="147"/>
      <c r="N88" s="147"/>
      <c r="O88" s="219">
        <v>6</v>
      </c>
      <c r="P88" s="143"/>
      <c r="Q88" s="147">
        <v>7</v>
      </c>
      <c r="R88" s="141"/>
      <c r="S88" s="220"/>
      <c r="T88" s="219">
        <v>11</v>
      </c>
      <c r="U88" s="212">
        <f t="shared" si="8"/>
        <v>187.11</v>
      </c>
      <c r="V88" s="365">
        <f t="shared" si="10"/>
        <v>187</v>
      </c>
      <c r="W88" s="366">
        <f t="shared" si="11"/>
        <v>11</v>
      </c>
      <c r="X88" s="362">
        <f t="shared" si="7"/>
        <v>187.91666666666666</v>
      </c>
      <c r="Y88" s="294">
        <f t="shared" ca="1" si="9"/>
        <v>46104</v>
      </c>
      <c r="Z88" s="375"/>
      <c r="AA88" s="384"/>
      <c r="AB88" s="391">
        <f t="shared" ca="1" si="6"/>
        <v>-46104</v>
      </c>
    </row>
    <row r="89" spans="1:28" s="7" customFormat="1" ht="107.4" hidden="1" x14ac:dyDescent="1.95">
      <c r="A89" s="16">
        <f>'MODIFICAR CODIGOS '!A89</f>
        <v>0</v>
      </c>
      <c r="B89" s="267">
        <f>'MODIFICAR CODIGOS '!B89</f>
        <v>0</v>
      </c>
      <c r="C89" s="282">
        <f>'MODIFICAR CODIGOS '!C89</f>
        <v>240</v>
      </c>
      <c r="D89" s="16">
        <f>'MODIFICAR CODIGOS '!D89</f>
        <v>30</v>
      </c>
      <c r="E89" s="16">
        <f>'MODIFICAR CODIGOS '!E89</f>
        <v>0</v>
      </c>
      <c r="F89" s="220"/>
      <c r="G89" s="147"/>
      <c r="H89" s="147"/>
      <c r="I89" s="147"/>
      <c r="J89" s="147"/>
      <c r="K89" s="219"/>
      <c r="L89" s="220"/>
      <c r="M89" s="147"/>
      <c r="N89" s="147"/>
      <c r="O89" s="219"/>
      <c r="P89" s="143"/>
      <c r="Q89" s="147"/>
      <c r="R89" s="141"/>
      <c r="S89" s="220"/>
      <c r="T89" s="219"/>
      <c r="U89" s="212" t="e">
        <f t="shared" si="8"/>
        <v>#DIV/0!</v>
      </c>
      <c r="V89" s="365" t="e">
        <f t="shared" si="10"/>
        <v>#DIV/0!</v>
      </c>
      <c r="W89" s="366" t="e">
        <f t="shared" si="11"/>
        <v>#DIV/0!</v>
      </c>
      <c r="X89" s="362" t="e">
        <f t="shared" si="7"/>
        <v>#DIV/0!</v>
      </c>
      <c r="Y89" s="294">
        <f t="shared" ca="1" si="9"/>
        <v>46104</v>
      </c>
      <c r="Z89" s="375"/>
      <c r="AA89" s="249"/>
      <c r="AB89" s="391">
        <f t="shared" ref="AB89:AB152" ca="1" si="12">AA89-Y89</f>
        <v>-46104</v>
      </c>
    </row>
    <row r="90" spans="1:28" s="7" customFormat="1" ht="107.4" x14ac:dyDescent="1.95">
      <c r="A90" s="16">
        <f>'MODIFICAR CODIGOS '!A90</f>
        <v>56706</v>
      </c>
      <c r="B90" s="268" t="str">
        <f>'MODIFICAR CODIGOS '!B90</f>
        <v xml:space="preserve">QUATRO 400PET </v>
      </c>
      <c r="C90" s="282">
        <f>'MODIFICAR CODIGOS '!C90</f>
        <v>240</v>
      </c>
      <c r="D90" s="16">
        <f>'MODIFICAR CODIGOS '!D90</f>
        <v>30</v>
      </c>
      <c r="E90" s="16">
        <f>'MODIFICAR CODIGOS '!E90</f>
        <v>12</v>
      </c>
      <c r="F90" s="220"/>
      <c r="G90" s="147"/>
      <c r="H90" s="147"/>
      <c r="I90" s="147"/>
      <c r="J90" s="147"/>
      <c r="K90" s="219"/>
      <c r="L90" s="220"/>
      <c r="M90" s="147"/>
      <c r="N90" s="147"/>
      <c r="O90" s="219">
        <v>2</v>
      </c>
      <c r="P90" s="143">
        <v>19</v>
      </c>
      <c r="Q90" s="147"/>
      <c r="R90" s="141"/>
      <c r="S90" s="220">
        <v>3</v>
      </c>
      <c r="T90" s="219"/>
      <c r="U90" s="212">
        <f t="shared" si="8"/>
        <v>79.03</v>
      </c>
      <c r="V90" s="365">
        <f t="shared" si="10"/>
        <v>79</v>
      </c>
      <c r="W90" s="366">
        <f t="shared" si="11"/>
        <v>3</v>
      </c>
      <c r="X90" s="362">
        <f t="shared" si="7"/>
        <v>79.25</v>
      </c>
      <c r="Y90" s="294">
        <f t="shared" ca="1" si="9"/>
        <v>46104</v>
      </c>
      <c r="Z90" s="375"/>
      <c r="AA90" s="384"/>
      <c r="AB90" s="391">
        <f t="shared" ca="1" si="12"/>
        <v>-46104</v>
      </c>
    </row>
    <row r="91" spans="1:28" s="7" customFormat="1" ht="107.4" hidden="1" x14ac:dyDescent="1.95">
      <c r="A91" s="16">
        <f>'MODIFICAR CODIGOS '!A91</f>
        <v>0</v>
      </c>
      <c r="B91" s="267">
        <f>'MODIFICAR CODIGOS '!B91</f>
        <v>0</v>
      </c>
      <c r="C91" s="282">
        <f>'MODIFICAR CODIGOS '!C91</f>
        <v>0</v>
      </c>
      <c r="D91" s="16">
        <f>'MODIFICAR CODIGOS '!D91</f>
        <v>0</v>
      </c>
      <c r="E91" s="16">
        <f>'MODIFICAR CODIGOS '!E91</f>
        <v>1</v>
      </c>
      <c r="F91" s="220"/>
      <c r="G91" s="147"/>
      <c r="H91" s="147"/>
      <c r="I91" s="147"/>
      <c r="J91" s="147"/>
      <c r="K91" s="219"/>
      <c r="L91" s="220"/>
      <c r="M91" s="147"/>
      <c r="N91" s="147"/>
      <c r="O91" s="219"/>
      <c r="P91" s="143"/>
      <c r="Q91" s="147"/>
      <c r="R91" s="141"/>
      <c r="S91" s="220"/>
      <c r="T91" s="219"/>
      <c r="U91" s="212">
        <f t="shared" si="8"/>
        <v>0</v>
      </c>
      <c r="V91" s="365">
        <f t="shared" si="10"/>
        <v>0</v>
      </c>
      <c r="W91" s="366">
        <f t="shared" si="11"/>
        <v>0</v>
      </c>
      <c r="X91" s="362">
        <f t="shared" si="7"/>
        <v>0</v>
      </c>
      <c r="Y91" s="294">
        <f t="shared" ca="1" si="9"/>
        <v>46104</v>
      </c>
      <c r="Z91" s="375"/>
      <c r="AA91" s="249"/>
      <c r="AB91" s="391">
        <f t="shared" ca="1" si="12"/>
        <v>-46104</v>
      </c>
    </row>
    <row r="92" spans="1:28" s="7" customFormat="1" ht="107.4" hidden="1" x14ac:dyDescent="1.95">
      <c r="A92" s="16">
        <f>'MODIFICAR CODIGOS '!A92</f>
        <v>0</v>
      </c>
      <c r="B92" s="267">
        <f>'MODIFICAR CODIGOS '!B92</f>
        <v>0</v>
      </c>
      <c r="C92" s="282">
        <f>'MODIFICAR CODIGOS '!C92</f>
        <v>0</v>
      </c>
      <c r="D92" s="16">
        <f>'MODIFICAR CODIGOS '!D92</f>
        <v>0</v>
      </c>
      <c r="E92" s="16">
        <f>'MODIFICAR CODIGOS '!E92</f>
        <v>1</v>
      </c>
      <c r="F92" s="220"/>
      <c r="G92" s="147"/>
      <c r="H92" s="147"/>
      <c r="I92" s="147"/>
      <c r="J92" s="147"/>
      <c r="K92" s="219"/>
      <c r="L92" s="220"/>
      <c r="M92" s="147"/>
      <c r="N92" s="147"/>
      <c r="O92" s="219"/>
      <c r="P92" s="143"/>
      <c r="Q92" s="147"/>
      <c r="R92" s="141"/>
      <c r="S92" s="220"/>
      <c r="T92" s="219"/>
      <c r="U92" s="212">
        <f t="shared" si="8"/>
        <v>0</v>
      </c>
      <c r="V92" s="365">
        <f t="shared" si="10"/>
        <v>0</v>
      </c>
      <c r="W92" s="366">
        <f t="shared" si="11"/>
        <v>0</v>
      </c>
      <c r="X92" s="362">
        <f t="shared" si="7"/>
        <v>0</v>
      </c>
      <c r="Y92" s="294">
        <f t="shared" ca="1" si="9"/>
        <v>46104</v>
      </c>
      <c r="Z92" s="375"/>
      <c r="AA92" s="249"/>
      <c r="AB92" s="391">
        <f t="shared" ca="1" si="12"/>
        <v>-46104</v>
      </c>
    </row>
    <row r="93" spans="1:28" s="7" customFormat="1" ht="107.4" hidden="1" x14ac:dyDescent="1.95">
      <c r="A93" s="16">
        <f>'MODIFICAR CODIGOS '!A93</f>
        <v>0</v>
      </c>
      <c r="B93" s="267">
        <f>'MODIFICAR CODIGOS '!B93</f>
        <v>0</v>
      </c>
      <c r="C93" s="282">
        <f>'MODIFICAR CODIGOS '!C93</f>
        <v>0</v>
      </c>
      <c r="D93" s="16">
        <f>'MODIFICAR CODIGOS '!D93</f>
        <v>0</v>
      </c>
      <c r="E93" s="16">
        <f>'MODIFICAR CODIGOS '!E93</f>
        <v>1</v>
      </c>
      <c r="F93" s="220"/>
      <c r="G93" s="147"/>
      <c r="H93" s="147"/>
      <c r="I93" s="147"/>
      <c r="J93" s="147"/>
      <c r="K93" s="219"/>
      <c r="L93" s="220"/>
      <c r="M93" s="147"/>
      <c r="N93" s="147"/>
      <c r="O93" s="219"/>
      <c r="P93" s="143"/>
      <c r="Q93" s="147"/>
      <c r="R93" s="141"/>
      <c r="S93" s="220"/>
      <c r="T93" s="219"/>
      <c r="U93" s="212">
        <f t="shared" si="8"/>
        <v>0</v>
      </c>
      <c r="V93" s="365">
        <f t="shared" si="10"/>
        <v>0</v>
      </c>
      <c r="W93" s="366">
        <f t="shared" si="11"/>
        <v>0</v>
      </c>
      <c r="X93" s="362">
        <f t="shared" si="7"/>
        <v>0</v>
      </c>
      <c r="Y93" s="294">
        <f t="shared" ca="1" si="9"/>
        <v>46104</v>
      </c>
      <c r="Z93" s="375"/>
      <c r="AA93" s="249"/>
      <c r="AB93" s="391">
        <f t="shared" ca="1" si="12"/>
        <v>-46104</v>
      </c>
    </row>
    <row r="94" spans="1:28" s="7" customFormat="1" ht="107.4" hidden="1" x14ac:dyDescent="1.95">
      <c r="A94" s="16">
        <f>'MODIFICAR CODIGOS '!A94</f>
        <v>0</v>
      </c>
      <c r="B94" s="267">
        <f>'MODIFICAR CODIGOS '!B94</f>
        <v>0</v>
      </c>
      <c r="C94" s="282">
        <f>'MODIFICAR CODIGOS '!C94</f>
        <v>0</v>
      </c>
      <c r="D94" s="16">
        <f>'MODIFICAR CODIGOS '!D94</f>
        <v>0</v>
      </c>
      <c r="E94" s="16">
        <f>'MODIFICAR CODIGOS '!E94</f>
        <v>1</v>
      </c>
      <c r="F94" s="220"/>
      <c r="G94" s="147"/>
      <c r="H94" s="147"/>
      <c r="I94" s="147"/>
      <c r="J94" s="147"/>
      <c r="K94" s="219"/>
      <c r="L94" s="220"/>
      <c r="M94" s="147"/>
      <c r="N94" s="147"/>
      <c r="O94" s="219"/>
      <c r="P94" s="143"/>
      <c r="Q94" s="147"/>
      <c r="R94" s="141"/>
      <c r="S94" s="220"/>
      <c r="T94" s="219"/>
      <c r="U94" s="212">
        <f t="shared" si="8"/>
        <v>0</v>
      </c>
      <c r="V94" s="365">
        <f t="shared" si="10"/>
        <v>0</v>
      </c>
      <c r="W94" s="366">
        <f t="shared" si="11"/>
        <v>0</v>
      </c>
      <c r="X94" s="362">
        <f t="shared" si="7"/>
        <v>0</v>
      </c>
      <c r="Y94" s="294">
        <f t="shared" ca="1" si="9"/>
        <v>46104</v>
      </c>
      <c r="Z94" s="375"/>
      <c r="AA94" s="249"/>
      <c r="AB94" s="391">
        <f t="shared" ca="1" si="12"/>
        <v>-46104</v>
      </c>
    </row>
    <row r="95" spans="1:28" s="7" customFormat="1" ht="107.4" hidden="1" x14ac:dyDescent="1.95">
      <c r="A95" s="16">
        <f>'MODIFICAR CODIGOS '!A95</f>
        <v>0</v>
      </c>
      <c r="B95" s="267">
        <f>'MODIFICAR CODIGOS '!B95</f>
        <v>0</v>
      </c>
      <c r="C95" s="282">
        <f>'MODIFICAR CODIGOS '!C95</f>
        <v>0</v>
      </c>
      <c r="D95" s="307">
        <f>'MODIFICAR CODIGOS '!D95</f>
        <v>0</v>
      </c>
      <c r="E95" s="16">
        <f>'MODIFICAR CODIGOS '!E95</f>
        <v>1</v>
      </c>
      <c r="F95" s="220"/>
      <c r="G95" s="147"/>
      <c r="H95" s="147"/>
      <c r="I95" s="147"/>
      <c r="J95" s="147"/>
      <c r="K95" s="219"/>
      <c r="L95" s="220"/>
      <c r="M95" s="147"/>
      <c r="N95" s="147"/>
      <c r="O95" s="219"/>
      <c r="P95" s="143"/>
      <c r="Q95" s="147"/>
      <c r="R95" s="141"/>
      <c r="S95" s="220"/>
      <c r="T95" s="219"/>
      <c r="U95" s="212">
        <f t="shared" si="8"/>
        <v>0</v>
      </c>
      <c r="V95" s="365">
        <f t="shared" si="10"/>
        <v>0</v>
      </c>
      <c r="W95" s="366">
        <f t="shared" si="11"/>
        <v>0</v>
      </c>
      <c r="X95" s="362">
        <f t="shared" si="7"/>
        <v>0</v>
      </c>
      <c r="Y95" s="294">
        <f t="shared" ca="1" si="9"/>
        <v>46104</v>
      </c>
      <c r="Z95" s="375"/>
      <c r="AA95" s="249"/>
      <c r="AB95" s="391">
        <f t="shared" ca="1" si="12"/>
        <v>-46104</v>
      </c>
    </row>
    <row r="96" spans="1:28" s="7" customFormat="1" ht="107.4" x14ac:dyDescent="1.95">
      <c r="A96" s="16" t="s">
        <v>396</v>
      </c>
      <c r="B96" s="268"/>
      <c r="C96" s="309"/>
      <c r="D96" s="311"/>
      <c r="E96" s="310"/>
      <c r="F96" s="221"/>
      <c r="G96" s="151"/>
      <c r="H96" s="151"/>
      <c r="I96" s="151"/>
      <c r="J96" s="151"/>
      <c r="K96" s="222"/>
      <c r="L96" s="221"/>
      <c r="M96" s="151"/>
      <c r="N96" s="151"/>
      <c r="O96" s="222"/>
      <c r="P96" s="151"/>
      <c r="Q96" s="151"/>
      <c r="R96" s="151"/>
      <c r="S96" s="221"/>
      <c r="T96" s="222"/>
      <c r="U96" s="212"/>
      <c r="V96" s="365" t="e">
        <f t="shared" si="10"/>
        <v>#DIV/0!</v>
      </c>
      <c r="W96" s="366" t="e">
        <f t="shared" si="11"/>
        <v>#DIV/0!</v>
      </c>
      <c r="X96" s="362"/>
      <c r="Y96" s="294"/>
      <c r="Z96" s="376"/>
      <c r="AA96" s="250"/>
      <c r="AB96" s="391">
        <f t="shared" si="12"/>
        <v>0</v>
      </c>
    </row>
    <row r="97" spans="1:28" s="7" customFormat="1" ht="107.25" hidden="1" customHeight="1" x14ac:dyDescent="1.95">
      <c r="A97" s="16">
        <f>'MODIFICAR CODIGOS '!A97</f>
        <v>0</v>
      </c>
      <c r="B97" s="267">
        <f>'MODIFICAR CODIGOS '!B97</f>
        <v>0</v>
      </c>
      <c r="C97" s="282">
        <f>'MODIFICAR CODIGOS '!C97</f>
        <v>0</v>
      </c>
      <c r="D97" s="308">
        <f>'MODIFICAR CODIGOS '!D97</f>
        <v>0</v>
      </c>
      <c r="E97" s="16">
        <f>'MODIFICAR CODIGOS '!E97</f>
        <v>1</v>
      </c>
      <c r="F97" s="220"/>
      <c r="G97" s="147"/>
      <c r="H97" s="147"/>
      <c r="I97" s="147"/>
      <c r="J97" s="147"/>
      <c r="K97" s="219"/>
      <c r="L97" s="220"/>
      <c r="M97" s="147"/>
      <c r="N97" s="147"/>
      <c r="O97" s="219"/>
      <c r="P97" s="143"/>
      <c r="Q97" s="147"/>
      <c r="R97" s="141"/>
      <c r="S97" s="220"/>
      <c r="T97" s="219"/>
      <c r="U97" s="212">
        <f t="shared" si="8"/>
        <v>0</v>
      </c>
      <c r="V97" s="365">
        <f t="shared" si="10"/>
        <v>0</v>
      </c>
      <c r="W97" s="366">
        <f t="shared" si="11"/>
        <v>0</v>
      </c>
      <c r="X97" s="362">
        <f t="shared" si="7"/>
        <v>0</v>
      </c>
      <c r="Y97" s="294">
        <f t="shared" ca="1" si="9"/>
        <v>46104</v>
      </c>
      <c r="Z97" s="375"/>
      <c r="AA97" s="249"/>
      <c r="AB97" s="391">
        <f t="shared" ca="1" si="12"/>
        <v>-46104</v>
      </c>
    </row>
    <row r="98" spans="1:28" s="7" customFormat="1" ht="107.25" hidden="1" customHeight="1" x14ac:dyDescent="1.95">
      <c r="A98" s="16">
        <f>'MODIFICAR CODIGOS '!A98</f>
        <v>0</v>
      </c>
      <c r="B98" s="267">
        <f>'MODIFICAR CODIGOS '!B98</f>
        <v>0</v>
      </c>
      <c r="C98" s="282">
        <f>'MODIFICAR CODIGOS '!C98</f>
        <v>0</v>
      </c>
      <c r="D98" s="16">
        <f>'MODIFICAR CODIGOS '!D98</f>
        <v>0</v>
      </c>
      <c r="E98" s="16">
        <f>'MODIFICAR CODIGOS '!E98</f>
        <v>1</v>
      </c>
      <c r="F98" s="220"/>
      <c r="G98" s="147"/>
      <c r="H98" s="147"/>
      <c r="I98" s="147"/>
      <c r="J98" s="147"/>
      <c r="K98" s="219"/>
      <c r="L98" s="220"/>
      <c r="M98" s="147"/>
      <c r="N98" s="147"/>
      <c r="O98" s="219"/>
      <c r="P98" s="143"/>
      <c r="Q98" s="147"/>
      <c r="R98" s="141"/>
      <c r="S98" s="220"/>
      <c r="T98" s="219"/>
      <c r="U98" s="212">
        <f t="shared" si="8"/>
        <v>0</v>
      </c>
      <c r="V98" s="365">
        <f t="shared" si="10"/>
        <v>0</v>
      </c>
      <c r="W98" s="366">
        <f t="shared" si="11"/>
        <v>0</v>
      </c>
      <c r="X98" s="362">
        <f t="shared" si="7"/>
        <v>0</v>
      </c>
      <c r="Y98" s="294">
        <f t="shared" ca="1" si="9"/>
        <v>46104</v>
      </c>
      <c r="Z98" s="375"/>
      <c r="AA98" s="249"/>
      <c r="AB98" s="391">
        <f t="shared" ca="1" si="12"/>
        <v>-46104</v>
      </c>
    </row>
    <row r="99" spans="1:28" s="7" customFormat="1" ht="107.25" hidden="1" customHeight="1" x14ac:dyDescent="1.95">
      <c r="A99" s="16">
        <f>'MODIFICAR CODIGOS '!A99</f>
        <v>0</v>
      </c>
      <c r="B99" s="267">
        <f>'MODIFICAR CODIGOS '!B99</f>
        <v>0</v>
      </c>
      <c r="C99" s="282">
        <f>'MODIFICAR CODIGOS '!C99</f>
        <v>0</v>
      </c>
      <c r="D99" s="16">
        <f>'MODIFICAR CODIGOS '!D99</f>
        <v>0</v>
      </c>
      <c r="E99" s="16">
        <f>'MODIFICAR CODIGOS '!E99</f>
        <v>1</v>
      </c>
      <c r="F99" s="220"/>
      <c r="G99" s="147"/>
      <c r="H99" s="147"/>
      <c r="I99" s="147"/>
      <c r="J99" s="147"/>
      <c r="K99" s="219"/>
      <c r="L99" s="220"/>
      <c r="M99" s="147"/>
      <c r="N99" s="147"/>
      <c r="O99" s="219"/>
      <c r="P99" s="143"/>
      <c r="Q99" s="147"/>
      <c r="R99" s="141"/>
      <c r="S99" s="220"/>
      <c r="T99" s="219"/>
      <c r="U99" s="212">
        <f t="shared" si="8"/>
        <v>0</v>
      </c>
      <c r="V99" s="365">
        <f t="shared" si="10"/>
        <v>0</v>
      </c>
      <c r="W99" s="366">
        <f t="shared" si="11"/>
        <v>0</v>
      </c>
      <c r="X99" s="362">
        <f t="shared" si="7"/>
        <v>0</v>
      </c>
      <c r="Y99" s="294">
        <f t="shared" ca="1" si="9"/>
        <v>46104</v>
      </c>
      <c r="Z99" s="375"/>
      <c r="AA99" s="249"/>
      <c r="AB99" s="391">
        <f t="shared" ca="1" si="12"/>
        <v>-46104</v>
      </c>
    </row>
    <row r="100" spans="1:28" s="7" customFormat="1" ht="107.25" hidden="1" customHeight="1" x14ac:dyDescent="1.95">
      <c r="A100" s="16">
        <f>'MODIFICAR CODIGOS '!A100</f>
        <v>0</v>
      </c>
      <c r="B100" s="267">
        <f>'MODIFICAR CODIGOS '!B100</f>
        <v>0</v>
      </c>
      <c r="C100" s="282">
        <f>'MODIFICAR CODIGOS '!C100</f>
        <v>0</v>
      </c>
      <c r="D100" s="16">
        <f>'MODIFICAR CODIGOS '!D100</f>
        <v>0</v>
      </c>
      <c r="E100" s="16">
        <f>'MODIFICAR CODIGOS '!E100</f>
        <v>1</v>
      </c>
      <c r="F100" s="220"/>
      <c r="G100" s="147"/>
      <c r="H100" s="147"/>
      <c r="I100" s="147"/>
      <c r="J100" s="147"/>
      <c r="K100" s="219"/>
      <c r="L100" s="220"/>
      <c r="M100" s="147"/>
      <c r="N100" s="147"/>
      <c r="O100" s="219"/>
      <c r="P100" s="143"/>
      <c r="Q100" s="147"/>
      <c r="R100" s="141"/>
      <c r="S100" s="220"/>
      <c r="T100" s="219"/>
      <c r="U100" s="212">
        <f t="shared" si="8"/>
        <v>0</v>
      </c>
      <c r="V100" s="365">
        <f t="shared" si="10"/>
        <v>0</v>
      </c>
      <c r="W100" s="366">
        <f t="shared" si="11"/>
        <v>0</v>
      </c>
      <c r="X100" s="362">
        <f t="shared" si="7"/>
        <v>0</v>
      </c>
      <c r="Y100" s="294">
        <f t="shared" ca="1" si="9"/>
        <v>46104</v>
      </c>
      <c r="Z100" s="375"/>
      <c r="AA100" s="249"/>
      <c r="AB100" s="391">
        <f t="shared" ca="1" si="12"/>
        <v>-46104</v>
      </c>
    </row>
    <row r="101" spans="1:28" s="7" customFormat="1" ht="107.25" hidden="1" customHeight="1" x14ac:dyDescent="1.95">
      <c r="A101" s="16">
        <f>'MODIFICAR CODIGOS '!A101</f>
        <v>0</v>
      </c>
      <c r="B101" s="267">
        <f>'MODIFICAR CODIGOS '!B101</f>
        <v>0</v>
      </c>
      <c r="C101" s="282">
        <f>'MODIFICAR CODIGOS '!C101</f>
        <v>0</v>
      </c>
      <c r="D101" s="16">
        <f>'MODIFICAR CODIGOS '!D101</f>
        <v>0</v>
      </c>
      <c r="E101" s="16">
        <f>'MODIFICAR CODIGOS '!E101</f>
        <v>1</v>
      </c>
      <c r="F101" s="220"/>
      <c r="G101" s="147"/>
      <c r="H101" s="147"/>
      <c r="I101" s="147"/>
      <c r="J101" s="147"/>
      <c r="K101" s="219"/>
      <c r="L101" s="220"/>
      <c r="M101" s="147"/>
      <c r="N101" s="147"/>
      <c r="O101" s="219"/>
      <c r="P101" s="143"/>
      <c r="Q101" s="147"/>
      <c r="R101" s="141"/>
      <c r="S101" s="220"/>
      <c r="T101" s="219"/>
      <c r="U101" s="212">
        <f t="shared" si="8"/>
        <v>0</v>
      </c>
      <c r="V101" s="365">
        <f t="shared" si="10"/>
        <v>0</v>
      </c>
      <c r="W101" s="366">
        <f t="shared" si="11"/>
        <v>0</v>
      </c>
      <c r="X101" s="362">
        <f t="shared" si="7"/>
        <v>0</v>
      </c>
      <c r="Y101" s="294">
        <f t="shared" ca="1" si="9"/>
        <v>46104</v>
      </c>
      <c r="Z101" s="375"/>
      <c r="AA101" s="249"/>
      <c r="AB101" s="391">
        <f t="shared" ca="1" si="12"/>
        <v>-46104</v>
      </c>
    </row>
    <row r="102" spans="1:28" s="7" customFormat="1" ht="107.4" hidden="1" x14ac:dyDescent="1.95">
      <c r="A102" s="16">
        <f>'MODIFICAR CODIGOS '!A102</f>
        <v>0</v>
      </c>
      <c r="B102" s="267">
        <f>'MODIFICAR CODIGOS '!B102</f>
        <v>0</v>
      </c>
      <c r="C102" s="282">
        <f>'MODIFICAR CODIGOS '!C102</f>
        <v>0</v>
      </c>
      <c r="D102" s="16">
        <f>'MODIFICAR CODIGOS '!D102</f>
        <v>0</v>
      </c>
      <c r="E102" s="16">
        <f>'MODIFICAR CODIGOS '!E102</f>
        <v>1</v>
      </c>
      <c r="F102" s="220"/>
      <c r="G102" s="147"/>
      <c r="H102" s="147"/>
      <c r="I102" s="147"/>
      <c r="J102" s="147"/>
      <c r="K102" s="219"/>
      <c r="L102" s="220"/>
      <c r="M102" s="147"/>
      <c r="N102" s="147"/>
      <c r="O102" s="219"/>
      <c r="P102" s="143"/>
      <c r="Q102" s="147"/>
      <c r="R102" s="141"/>
      <c r="S102" s="220"/>
      <c r="T102" s="219"/>
      <c r="U102" s="212">
        <f t="shared" si="8"/>
        <v>0</v>
      </c>
      <c r="V102" s="365">
        <f t="shared" si="10"/>
        <v>0</v>
      </c>
      <c r="W102" s="366">
        <f t="shared" si="11"/>
        <v>0</v>
      </c>
      <c r="X102" s="362">
        <f t="shared" si="7"/>
        <v>0</v>
      </c>
      <c r="Y102" s="294">
        <f t="shared" ca="1" si="9"/>
        <v>46104</v>
      </c>
      <c r="Z102" s="375"/>
      <c r="AA102" s="249"/>
      <c r="AB102" s="391">
        <f t="shared" ca="1" si="12"/>
        <v>-46104</v>
      </c>
    </row>
    <row r="103" spans="1:28" s="7" customFormat="1" ht="107.25" hidden="1" customHeight="1" x14ac:dyDescent="1.95">
      <c r="A103" s="16">
        <f>'MODIFICAR CODIGOS '!A103</f>
        <v>0</v>
      </c>
      <c r="B103" s="267">
        <f>'MODIFICAR CODIGOS '!B103</f>
        <v>0</v>
      </c>
      <c r="C103" s="282">
        <f>'MODIFICAR CODIGOS '!C103</f>
        <v>0</v>
      </c>
      <c r="D103" s="16">
        <f>'MODIFICAR CODIGOS '!D103</f>
        <v>0</v>
      </c>
      <c r="E103" s="16">
        <f>'MODIFICAR CODIGOS '!E103</f>
        <v>1</v>
      </c>
      <c r="F103" s="220"/>
      <c r="G103" s="147"/>
      <c r="H103" s="147"/>
      <c r="I103" s="147"/>
      <c r="J103" s="147"/>
      <c r="K103" s="219"/>
      <c r="L103" s="220"/>
      <c r="M103" s="147"/>
      <c r="N103" s="147"/>
      <c r="O103" s="219"/>
      <c r="P103" s="143"/>
      <c r="Q103" s="147"/>
      <c r="R103" s="141"/>
      <c r="S103" s="220"/>
      <c r="T103" s="219"/>
      <c r="U103" s="212">
        <f t="shared" si="8"/>
        <v>0</v>
      </c>
      <c r="V103" s="365">
        <f t="shared" si="10"/>
        <v>0</v>
      </c>
      <c r="W103" s="366">
        <f t="shared" si="11"/>
        <v>0</v>
      </c>
      <c r="X103" s="362">
        <f t="shared" si="7"/>
        <v>0</v>
      </c>
      <c r="Y103" s="294">
        <f t="shared" ca="1" si="9"/>
        <v>46104</v>
      </c>
      <c r="Z103" s="375"/>
      <c r="AA103" s="249"/>
      <c r="AB103" s="391">
        <f t="shared" ca="1" si="12"/>
        <v>-46104</v>
      </c>
    </row>
    <row r="104" spans="1:28" s="7" customFormat="1" ht="107.4" hidden="1" x14ac:dyDescent="1.95">
      <c r="A104" s="16">
        <f>'MODIFICAR CODIGOS '!A104</f>
        <v>0</v>
      </c>
      <c r="B104" s="267">
        <f>'MODIFICAR CODIGOS '!B104</f>
        <v>0</v>
      </c>
      <c r="C104" s="282">
        <f>'MODIFICAR CODIGOS '!C104</f>
        <v>0</v>
      </c>
      <c r="D104" s="16">
        <f>'MODIFICAR CODIGOS '!D104</f>
        <v>0</v>
      </c>
      <c r="E104" s="16">
        <f>'MODIFICAR CODIGOS '!E104</f>
        <v>1</v>
      </c>
      <c r="F104" s="220"/>
      <c r="G104" s="147"/>
      <c r="H104" s="147"/>
      <c r="I104" s="147"/>
      <c r="J104" s="147"/>
      <c r="K104" s="219"/>
      <c r="L104" s="220"/>
      <c r="M104" s="147"/>
      <c r="N104" s="147"/>
      <c r="O104" s="219"/>
      <c r="P104" s="143"/>
      <c r="Q104" s="147"/>
      <c r="R104" s="141"/>
      <c r="S104" s="220"/>
      <c r="T104" s="219"/>
      <c r="U104" s="212">
        <f t="shared" si="8"/>
        <v>0</v>
      </c>
      <c r="V104" s="365">
        <f t="shared" si="10"/>
        <v>0</v>
      </c>
      <c r="W104" s="366">
        <f t="shared" si="11"/>
        <v>0</v>
      </c>
      <c r="X104" s="362">
        <f t="shared" si="7"/>
        <v>0</v>
      </c>
      <c r="Y104" s="294">
        <f t="shared" ca="1" si="9"/>
        <v>46104</v>
      </c>
      <c r="Z104" s="375"/>
      <c r="AA104" s="249"/>
      <c r="AB104" s="391">
        <f t="shared" ca="1" si="12"/>
        <v>-46104</v>
      </c>
    </row>
    <row r="105" spans="1:28" s="7" customFormat="1" ht="107.4" hidden="1" x14ac:dyDescent="1.95">
      <c r="A105" s="16">
        <f>'MODIFICAR CODIGOS '!A105</f>
        <v>0</v>
      </c>
      <c r="B105" s="267">
        <f>'MODIFICAR CODIGOS '!B105</f>
        <v>0</v>
      </c>
      <c r="C105" s="282">
        <f>'MODIFICAR CODIGOS '!C105</f>
        <v>0</v>
      </c>
      <c r="D105" s="16">
        <f>'MODIFICAR CODIGOS '!D105</f>
        <v>0</v>
      </c>
      <c r="E105" s="16">
        <f>'MODIFICAR CODIGOS '!E105</f>
        <v>1</v>
      </c>
      <c r="F105" s="220"/>
      <c r="G105" s="147"/>
      <c r="H105" s="147"/>
      <c r="I105" s="147"/>
      <c r="J105" s="147"/>
      <c r="K105" s="219"/>
      <c r="L105" s="220"/>
      <c r="M105" s="147"/>
      <c r="N105" s="147"/>
      <c r="O105" s="219"/>
      <c r="P105" s="143"/>
      <c r="Q105" s="147"/>
      <c r="R105" s="141"/>
      <c r="S105" s="220"/>
      <c r="T105" s="219"/>
      <c r="U105" s="212">
        <f t="shared" si="8"/>
        <v>0</v>
      </c>
      <c r="V105" s="365">
        <f t="shared" si="10"/>
        <v>0</v>
      </c>
      <c r="W105" s="366">
        <f t="shared" si="11"/>
        <v>0</v>
      </c>
      <c r="X105" s="362">
        <f t="shared" si="7"/>
        <v>0</v>
      </c>
      <c r="Y105" s="294">
        <f t="shared" ca="1" si="9"/>
        <v>46104</v>
      </c>
      <c r="Z105" s="375"/>
      <c r="AA105" s="249"/>
      <c r="AB105" s="391">
        <f t="shared" ca="1" si="12"/>
        <v>-46104</v>
      </c>
    </row>
    <row r="106" spans="1:28" s="7" customFormat="1" ht="107.4" hidden="1" x14ac:dyDescent="1.95">
      <c r="A106" s="16">
        <f>'MODIFICAR CODIGOS '!A106</f>
        <v>0</v>
      </c>
      <c r="B106" s="267">
        <f>'MODIFICAR CODIGOS '!B106</f>
        <v>0</v>
      </c>
      <c r="C106" s="282">
        <f>'MODIFICAR CODIGOS '!C106</f>
        <v>0</v>
      </c>
      <c r="D106" s="16">
        <f>'MODIFICAR CODIGOS '!D106</f>
        <v>0</v>
      </c>
      <c r="E106" s="16">
        <f>'MODIFICAR CODIGOS '!E106</f>
        <v>1</v>
      </c>
      <c r="F106" s="220"/>
      <c r="G106" s="147"/>
      <c r="H106" s="147"/>
      <c r="I106" s="147"/>
      <c r="J106" s="147"/>
      <c r="K106" s="219"/>
      <c r="L106" s="220"/>
      <c r="M106" s="147"/>
      <c r="N106" s="147"/>
      <c r="O106" s="219"/>
      <c r="P106" s="143"/>
      <c r="Q106" s="147"/>
      <c r="R106" s="141"/>
      <c r="S106" s="220"/>
      <c r="T106" s="219"/>
      <c r="U106" s="212">
        <f t="shared" si="8"/>
        <v>0</v>
      </c>
      <c r="V106" s="365">
        <f t="shared" si="10"/>
        <v>0</v>
      </c>
      <c r="W106" s="366">
        <f t="shared" si="11"/>
        <v>0</v>
      </c>
      <c r="X106" s="362">
        <f t="shared" si="7"/>
        <v>0</v>
      </c>
      <c r="Y106" s="294">
        <f t="shared" ca="1" si="9"/>
        <v>46104</v>
      </c>
      <c r="Z106" s="375"/>
      <c r="AA106" s="249"/>
      <c r="AB106" s="391">
        <f t="shared" ca="1" si="12"/>
        <v>-46104</v>
      </c>
    </row>
    <row r="107" spans="1:28" s="7" customFormat="1" ht="107.25" hidden="1" customHeight="1" x14ac:dyDescent="1.95">
      <c r="A107" s="16">
        <f>'MODIFICAR CODIGOS '!A107</f>
        <v>0</v>
      </c>
      <c r="B107" s="267">
        <f>'MODIFICAR CODIGOS '!B107</f>
        <v>0</v>
      </c>
      <c r="C107" s="282">
        <f>'MODIFICAR CODIGOS '!C107</f>
        <v>0</v>
      </c>
      <c r="D107" s="16">
        <f>'MODIFICAR CODIGOS '!D107</f>
        <v>0</v>
      </c>
      <c r="E107" s="16">
        <f>'MODIFICAR CODIGOS '!E107</f>
        <v>1</v>
      </c>
      <c r="F107" s="220"/>
      <c r="G107" s="147"/>
      <c r="H107" s="147"/>
      <c r="I107" s="147"/>
      <c r="J107" s="147"/>
      <c r="K107" s="219"/>
      <c r="L107" s="220"/>
      <c r="M107" s="147"/>
      <c r="N107" s="147"/>
      <c r="O107" s="219"/>
      <c r="P107" s="143"/>
      <c r="Q107" s="147"/>
      <c r="R107" s="141"/>
      <c r="S107" s="220"/>
      <c r="T107" s="219"/>
      <c r="U107" s="212">
        <f t="shared" si="8"/>
        <v>0</v>
      </c>
      <c r="V107" s="365">
        <f t="shared" si="10"/>
        <v>0</v>
      </c>
      <c r="W107" s="366">
        <f t="shared" si="11"/>
        <v>0</v>
      </c>
      <c r="X107" s="362">
        <f t="shared" si="7"/>
        <v>0</v>
      </c>
      <c r="Y107" s="294">
        <f t="shared" ca="1" si="9"/>
        <v>46104</v>
      </c>
      <c r="Z107" s="375"/>
      <c r="AA107" s="249"/>
      <c r="AB107" s="391">
        <f t="shared" ca="1" si="12"/>
        <v>-46104</v>
      </c>
    </row>
    <row r="108" spans="1:28" s="7" customFormat="1" ht="108" customHeight="1" x14ac:dyDescent="1.95">
      <c r="A108" s="16">
        <f>'MODIFICAR CODIGOS '!A108</f>
        <v>135761</v>
      </c>
      <c r="B108" s="267" t="str">
        <f>'MODIFICAR CODIGOS '!B108</f>
        <v>COCA COLA ZERO 250 ML (12)</v>
      </c>
      <c r="C108" s="282">
        <f>'MODIFICAR CODIGOS '!C108</f>
        <v>288</v>
      </c>
      <c r="D108" s="16">
        <f>'MODIFICAR CODIGOS '!D108</f>
        <v>32</v>
      </c>
      <c r="E108" s="16">
        <f>'MODIFICAR CODIGOS '!E108</f>
        <v>12</v>
      </c>
      <c r="F108" s="220"/>
      <c r="G108" s="147"/>
      <c r="H108" s="147"/>
      <c r="I108" s="147"/>
      <c r="J108" s="147"/>
      <c r="K108" s="219"/>
      <c r="L108" s="220"/>
      <c r="M108" s="147"/>
      <c r="N108" s="147"/>
      <c r="O108" s="219"/>
      <c r="P108" s="143"/>
      <c r="Q108" s="147"/>
      <c r="R108" s="141">
        <v>7</v>
      </c>
      <c r="S108" s="220">
        <v>9</v>
      </c>
      <c r="T108" s="219"/>
      <c r="U108" s="212">
        <f t="shared" si="8"/>
        <v>7.09</v>
      </c>
      <c r="V108" s="365">
        <f t="shared" si="10"/>
        <v>7</v>
      </c>
      <c r="W108" s="366">
        <f t="shared" si="11"/>
        <v>9</v>
      </c>
      <c r="X108" s="362">
        <f t="shared" si="7"/>
        <v>7.75</v>
      </c>
      <c r="Y108" s="294">
        <f t="shared" ca="1" si="9"/>
        <v>46104</v>
      </c>
      <c r="Z108" s="375"/>
      <c r="AA108" s="384"/>
      <c r="AB108" s="391">
        <f t="shared" ca="1" si="12"/>
        <v>-46104</v>
      </c>
    </row>
    <row r="109" spans="1:28" s="7" customFormat="1" ht="107.4" x14ac:dyDescent="1.95">
      <c r="A109" s="16">
        <f>'MODIFICAR CODIGOS '!A109</f>
        <v>160200</v>
      </c>
      <c r="B109" s="268" t="str">
        <f>'MODIFICAR CODIGOS '!B109</f>
        <v>COCA COLA 250 ML (12)</v>
      </c>
      <c r="C109" s="282">
        <f>'MODIFICAR CODIGOS '!C109</f>
        <v>288</v>
      </c>
      <c r="D109" s="16">
        <f>'MODIFICAR CODIGOS '!D109</f>
        <v>32</v>
      </c>
      <c r="E109" s="16">
        <f>'MODIFICAR CODIGOS '!E109</f>
        <v>12</v>
      </c>
      <c r="F109" s="220"/>
      <c r="G109" s="147"/>
      <c r="H109" s="147">
        <v>3</v>
      </c>
      <c r="I109" s="147"/>
      <c r="J109" s="147"/>
      <c r="K109" s="219"/>
      <c r="L109" s="220"/>
      <c r="M109" s="147"/>
      <c r="N109" s="147"/>
      <c r="O109" s="219">
        <v>6</v>
      </c>
      <c r="P109" s="143">
        <v>15</v>
      </c>
      <c r="Q109" s="147"/>
      <c r="R109" s="141">
        <v>1</v>
      </c>
      <c r="S109" s="220"/>
      <c r="T109" s="219"/>
      <c r="U109" s="212">
        <f t="shared" si="8"/>
        <v>1072</v>
      </c>
      <c r="V109" s="365">
        <f t="shared" si="10"/>
        <v>1072</v>
      </c>
      <c r="W109" s="366">
        <f t="shared" si="11"/>
        <v>0</v>
      </c>
      <c r="X109" s="362">
        <f t="shared" si="7"/>
        <v>1072</v>
      </c>
      <c r="Y109" s="294">
        <f t="shared" ca="1" si="9"/>
        <v>46104</v>
      </c>
      <c r="Z109" s="375"/>
      <c r="AA109" s="384"/>
      <c r="AB109" s="391">
        <f t="shared" ca="1" si="12"/>
        <v>-46104</v>
      </c>
    </row>
    <row r="110" spans="1:28" s="7" customFormat="1" ht="107.4" hidden="1" x14ac:dyDescent="1.95">
      <c r="A110" s="16">
        <f>'MODIFICAR CODIGOS '!A110</f>
        <v>0</v>
      </c>
      <c r="B110" s="268">
        <f>'MODIFICAR CODIGOS '!B110</f>
        <v>0</v>
      </c>
      <c r="C110" s="282">
        <f>'MODIFICAR CODIGOS '!C110</f>
        <v>0</v>
      </c>
      <c r="D110" s="16">
        <f>'MODIFICAR CODIGOS '!D110</f>
        <v>0</v>
      </c>
      <c r="E110" s="16">
        <f>'MODIFICAR CODIGOS '!E110</f>
        <v>1</v>
      </c>
      <c r="F110" s="220"/>
      <c r="G110" s="147"/>
      <c r="H110" s="147"/>
      <c r="I110" s="147"/>
      <c r="J110" s="147"/>
      <c r="K110" s="219"/>
      <c r="L110" s="220"/>
      <c r="M110" s="147"/>
      <c r="N110" s="147"/>
      <c r="O110" s="219"/>
      <c r="P110" s="143"/>
      <c r="Q110" s="147"/>
      <c r="R110" s="141"/>
      <c r="S110" s="220"/>
      <c r="T110" s="219"/>
      <c r="U110" s="212">
        <f t="shared" si="8"/>
        <v>0</v>
      </c>
      <c r="V110" s="365">
        <f t="shared" si="10"/>
        <v>0</v>
      </c>
      <c r="W110" s="366">
        <f t="shared" si="11"/>
        <v>0</v>
      </c>
      <c r="X110" s="362">
        <f t="shared" si="7"/>
        <v>0</v>
      </c>
      <c r="Y110" s="294">
        <f t="shared" ca="1" si="9"/>
        <v>46104</v>
      </c>
      <c r="Z110" s="375"/>
      <c r="AA110" s="249"/>
      <c r="AB110" s="391">
        <f t="shared" ca="1" si="12"/>
        <v>-46104</v>
      </c>
    </row>
    <row r="111" spans="1:28" s="7" customFormat="1" ht="107.4" hidden="1" x14ac:dyDescent="1.95">
      <c r="A111" s="16">
        <f>'MODIFICAR CODIGOS '!A111</f>
        <v>0</v>
      </c>
      <c r="B111" s="267">
        <f>'MODIFICAR CODIGOS '!B111</f>
        <v>0</v>
      </c>
      <c r="C111" s="282">
        <f>'MODIFICAR CODIGOS '!C111</f>
        <v>0</v>
      </c>
      <c r="D111" s="16">
        <f>'MODIFICAR CODIGOS '!D111</f>
        <v>0</v>
      </c>
      <c r="E111" s="16">
        <f>'MODIFICAR CODIGOS '!E111</f>
        <v>1</v>
      </c>
      <c r="F111" s="220"/>
      <c r="G111" s="147"/>
      <c r="H111" s="147"/>
      <c r="I111" s="147"/>
      <c r="J111" s="147"/>
      <c r="K111" s="219"/>
      <c r="L111" s="220"/>
      <c r="M111" s="147"/>
      <c r="N111" s="147"/>
      <c r="O111" s="219"/>
      <c r="P111" s="143"/>
      <c r="Q111" s="147"/>
      <c r="R111" s="141"/>
      <c r="S111" s="220"/>
      <c r="T111" s="219"/>
      <c r="U111" s="212">
        <f t="shared" si="8"/>
        <v>0</v>
      </c>
      <c r="V111" s="365">
        <f t="shared" si="10"/>
        <v>0</v>
      </c>
      <c r="W111" s="366">
        <f t="shared" si="11"/>
        <v>0</v>
      </c>
      <c r="X111" s="362">
        <f t="shared" si="7"/>
        <v>0</v>
      </c>
      <c r="Y111" s="294">
        <f t="shared" ca="1" si="9"/>
        <v>46104</v>
      </c>
      <c r="Z111" s="375"/>
      <c r="AA111" s="249"/>
      <c r="AB111" s="391">
        <f t="shared" ca="1" si="12"/>
        <v>-46104</v>
      </c>
    </row>
    <row r="112" spans="1:28" s="7" customFormat="1" ht="107.25" hidden="1" customHeight="1" x14ac:dyDescent="1.95">
      <c r="A112" s="16">
        <f>'MODIFICAR CODIGOS '!A112</f>
        <v>0</v>
      </c>
      <c r="B112" s="267">
        <f>'MODIFICAR CODIGOS '!B112</f>
        <v>0</v>
      </c>
      <c r="C112" s="282">
        <f>'MODIFICAR CODIGOS '!C112</f>
        <v>0</v>
      </c>
      <c r="D112" s="307">
        <f>'MODIFICAR CODIGOS '!D112</f>
        <v>0</v>
      </c>
      <c r="E112" s="16">
        <f>'MODIFICAR CODIGOS '!E112</f>
        <v>1</v>
      </c>
      <c r="F112" s="220"/>
      <c r="G112" s="147"/>
      <c r="H112" s="147"/>
      <c r="I112" s="147"/>
      <c r="J112" s="147"/>
      <c r="K112" s="219"/>
      <c r="L112" s="220"/>
      <c r="M112" s="147"/>
      <c r="N112" s="147"/>
      <c r="O112" s="219"/>
      <c r="P112" s="143"/>
      <c r="Q112" s="147"/>
      <c r="R112" s="141"/>
      <c r="S112" s="220"/>
      <c r="T112" s="219"/>
      <c r="U112" s="212">
        <f t="shared" si="8"/>
        <v>0</v>
      </c>
      <c r="V112" s="365">
        <f t="shared" si="10"/>
        <v>0</v>
      </c>
      <c r="W112" s="366">
        <f t="shared" si="11"/>
        <v>0</v>
      </c>
      <c r="X112" s="362">
        <f t="shared" si="7"/>
        <v>0</v>
      </c>
      <c r="Y112" s="294">
        <f t="shared" ca="1" si="9"/>
        <v>46104</v>
      </c>
      <c r="Z112" s="375"/>
      <c r="AA112" s="249"/>
      <c r="AB112" s="391">
        <f t="shared" ca="1" si="12"/>
        <v>-46104</v>
      </c>
    </row>
    <row r="113" spans="1:28" s="7" customFormat="1" ht="107.4" x14ac:dyDescent="1.95">
      <c r="A113" s="16" t="s">
        <v>396</v>
      </c>
      <c r="B113" s="267"/>
      <c r="C113" s="309"/>
      <c r="D113" s="311"/>
      <c r="E113" s="310"/>
      <c r="F113" s="234"/>
      <c r="G113" s="208"/>
      <c r="H113" s="208"/>
      <c r="I113" s="208"/>
      <c r="J113" s="208"/>
      <c r="K113" s="235"/>
      <c r="L113" s="234"/>
      <c r="M113" s="208"/>
      <c r="N113" s="208"/>
      <c r="O113" s="235"/>
      <c r="P113" s="208"/>
      <c r="Q113" s="208"/>
      <c r="R113" s="208"/>
      <c r="S113" s="234"/>
      <c r="T113" s="235"/>
      <c r="U113" s="212"/>
      <c r="V113" s="365" t="e">
        <f t="shared" si="10"/>
        <v>#DIV/0!</v>
      </c>
      <c r="W113" s="366" t="e">
        <f t="shared" si="11"/>
        <v>#DIV/0!</v>
      </c>
      <c r="X113" s="362"/>
      <c r="Y113" s="294"/>
      <c r="Z113" s="379"/>
      <c r="AA113" s="257"/>
      <c r="AB113" s="391">
        <f t="shared" si="12"/>
        <v>0</v>
      </c>
    </row>
    <row r="114" spans="1:28" s="7" customFormat="1" ht="107.25" hidden="1" customHeight="1" x14ac:dyDescent="1.95">
      <c r="A114" s="16">
        <f>'MODIFICAR CODIGOS '!A114</f>
        <v>0</v>
      </c>
      <c r="B114" s="267">
        <f>'MODIFICAR CODIGOS '!B114</f>
        <v>0</v>
      </c>
      <c r="C114" s="282">
        <f>'MODIFICAR CODIGOS '!C114</f>
        <v>0</v>
      </c>
      <c r="D114" s="308">
        <f>'MODIFICAR CODIGOS '!D114</f>
        <v>0</v>
      </c>
      <c r="E114" s="16">
        <f>'MODIFICAR CODIGOS '!E114</f>
        <v>1</v>
      </c>
      <c r="F114" s="220"/>
      <c r="G114" s="147"/>
      <c r="H114" s="147"/>
      <c r="I114" s="147"/>
      <c r="J114" s="147"/>
      <c r="K114" s="219"/>
      <c r="L114" s="220"/>
      <c r="M114" s="147"/>
      <c r="N114" s="147"/>
      <c r="O114" s="219"/>
      <c r="P114" s="143"/>
      <c r="Q114" s="147"/>
      <c r="R114" s="141"/>
      <c r="S114" s="220"/>
      <c r="T114" s="219"/>
      <c r="U114" s="212">
        <f t="shared" si="8"/>
        <v>0</v>
      </c>
      <c r="V114" s="365">
        <f t="shared" si="10"/>
        <v>0</v>
      </c>
      <c r="W114" s="366">
        <f t="shared" si="11"/>
        <v>0</v>
      </c>
      <c r="X114" s="362">
        <f t="shared" si="7"/>
        <v>0</v>
      </c>
      <c r="Y114" s="294">
        <f t="shared" ca="1" si="9"/>
        <v>46104</v>
      </c>
      <c r="Z114" s="375"/>
      <c r="AA114" s="249"/>
      <c r="AB114" s="391">
        <f t="shared" ca="1" si="12"/>
        <v>-46104</v>
      </c>
    </row>
    <row r="115" spans="1:28" s="7" customFormat="1" ht="107.4" hidden="1" x14ac:dyDescent="1.95">
      <c r="A115" s="16">
        <f>'MODIFICAR CODIGOS '!A115</f>
        <v>0</v>
      </c>
      <c r="B115" s="267">
        <f>'MODIFICAR CODIGOS '!B115</f>
        <v>0</v>
      </c>
      <c r="C115" s="282">
        <f>'MODIFICAR CODIGOS '!C115</f>
        <v>0</v>
      </c>
      <c r="D115" s="16">
        <f>'MODIFICAR CODIGOS '!D115</f>
        <v>0</v>
      </c>
      <c r="E115" s="16">
        <f>'MODIFICAR CODIGOS '!E115</f>
        <v>1</v>
      </c>
      <c r="F115" s="220"/>
      <c r="G115" s="147"/>
      <c r="H115" s="147"/>
      <c r="I115" s="147"/>
      <c r="J115" s="147"/>
      <c r="K115" s="219"/>
      <c r="L115" s="220"/>
      <c r="M115" s="147"/>
      <c r="N115" s="147"/>
      <c r="O115" s="219"/>
      <c r="P115" s="143"/>
      <c r="Q115" s="147"/>
      <c r="R115" s="141"/>
      <c r="S115" s="220"/>
      <c r="T115" s="219"/>
      <c r="U115" s="212">
        <f t="shared" si="8"/>
        <v>0</v>
      </c>
      <c r="V115" s="365">
        <f t="shared" si="10"/>
        <v>0</v>
      </c>
      <c r="W115" s="366">
        <f t="shared" si="11"/>
        <v>0</v>
      </c>
      <c r="X115" s="362">
        <f t="shared" si="7"/>
        <v>0</v>
      </c>
      <c r="Y115" s="294">
        <f t="shared" ca="1" si="9"/>
        <v>46104</v>
      </c>
      <c r="Z115" s="375"/>
      <c r="AA115" s="249"/>
      <c r="AB115" s="391">
        <f t="shared" ca="1" si="12"/>
        <v>-46104</v>
      </c>
    </row>
    <row r="116" spans="1:28" s="7" customFormat="1" ht="107.4" hidden="1" x14ac:dyDescent="1.95">
      <c r="A116" s="16">
        <f>'MODIFICAR CODIGOS '!A116</f>
        <v>0</v>
      </c>
      <c r="B116" s="267">
        <f>'MODIFICAR CODIGOS '!B116</f>
        <v>0</v>
      </c>
      <c r="C116" s="282">
        <f>'MODIFICAR CODIGOS '!C116</f>
        <v>0</v>
      </c>
      <c r="D116" s="16">
        <f>'MODIFICAR CODIGOS '!D116</f>
        <v>0</v>
      </c>
      <c r="E116" s="16">
        <f>'MODIFICAR CODIGOS '!E116</f>
        <v>1</v>
      </c>
      <c r="F116" s="220"/>
      <c r="G116" s="147"/>
      <c r="H116" s="147"/>
      <c r="I116" s="147"/>
      <c r="J116" s="147"/>
      <c r="K116" s="219"/>
      <c r="L116" s="220"/>
      <c r="M116" s="147"/>
      <c r="N116" s="147"/>
      <c r="O116" s="219"/>
      <c r="P116" s="143"/>
      <c r="Q116" s="147"/>
      <c r="R116" s="141"/>
      <c r="S116" s="220"/>
      <c r="T116" s="219"/>
      <c r="U116" s="212">
        <f t="shared" si="8"/>
        <v>0</v>
      </c>
      <c r="V116" s="365">
        <f t="shared" si="10"/>
        <v>0</v>
      </c>
      <c r="W116" s="366">
        <f t="shared" si="11"/>
        <v>0</v>
      </c>
      <c r="X116" s="362">
        <f t="shared" si="7"/>
        <v>0</v>
      </c>
      <c r="Y116" s="294">
        <f t="shared" ca="1" si="9"/>
        <v>46104</v>
      </c>
      <c r="Z116" s="375"/>
      <c r="AA116" s="249"/>
      <c r="AB116" s="391">
        <f t="shared" ca="1" si="12"/>
        <v>-46104</v>
      </c>
    </row>
    <row r="117" spans="1:28" s="7" customFormat="1" ht="107.4" hidden="1" x14ac:dyDescent="1.95">
      <c r="A117" s="16">
        <f>'MODIFICAR CODIGOS '!A117</f>
        <v>0</v>
      </c>
      <c r="B117" s="267">
        <f>'MODIFICAR CODIGOS '!B117</f>
        <v>0</v>
      </c>
      <c r="C117" s="282">
        <f>'MODIFICAR CODIGOS '!C117</f>
        <v>0</v>
      </c>
      <c r="D117" s="16">
        <f>'MODIFICAR CODIGOS '!D117</f>
        <v>0</v>
      </c>
      <c r="E117" s="16">
        <f>'MODIFICAR CODIGOS '!E117</f>
        <v>1</v>
      </c>
      <c r="F117" s="220"/>
      <c r="G117" s="147"/>
      <c r="H117" s="147"/>
      <c r="I117" s="147"/>
      <c r="J117" s="147"/>
      <c r="K117" s="219"/>
      <c r="L117" s="220"/>
      <c r="M117" s="147"/>
      <c r="N117" s="147"/>
      <c r="O117" s="219"/>
      <c r="P117" s="143"/>
      <c r="Q117" s="147"/>
      <c r="R117" s="141"/>
      <c r="S117" s="220"/>
      <c r="T117" s="219"/>
      <c r="U117" s="212">
        <f t="shared" si="8"/>
        <v>0</v>
      </c>
      <c r="V117" s="365">
        <f t="shared" si="10"/>
        <v>0</v>
      </c>
      <c r="W117" s="366">
        <f t="shared" si="11"/>
        <v>0</v>
      </c>
      <c r="X117" s="362">
        <f t="shared" si="7"/>
        <v>0</v>
      </c>
      <c r="Y117" s="294">
        <f t="shared" ca="1" si="9"/>
        <v>46104</v>
      </c>
      <c r="Z117" s="375"/>
      <c r="AA117" s="249"/>
      <c r="AB117" s="391">
        <f t="shared" ca="1" si="12"/>
        <v>-46104</v>
      </c>
    </row>
    <row r="118" spans="1:28" s="7" customFormat="1" ht="107.25" hidden="1" customHeight="1" x14ac:dyDescent="1.95">
      <c r="A118" s="16">
        <f>'MODIFICAR CODIGOS '!A118</f>
        <v>0</v>
      </c>
      <c r="B118" s="267">
        <f>'MODIFICAR CODIGOS '!B118</f>
        <v>0</v>
      </c>
      <c r="C118" s="282">
        <f>'MODIFICAR CODIGOS '!C118</f>
        <v>0</v>
      </c>
      <c r="D118" s="307">
        <f>'MODIFICAR CODIGOS '!D118</f>
        <v>0</v>
      </c>
      <c r="E118" s="16">
        <f>'MODIFICAR CODIGOS '!E118</f>
        <v>1</v>
      </c>
      <c r="F118" s="220"/>
      <c r="G118" s="147"/>
      <c r="H118" s="147"/>
      <c r="I118" s="147"/>
      <c r="J118" s="147"/>
      <c r="K118" s="219"/>
      <c r="L118" s="220"/>
      <c r="M118" s="147"/>
      <c r="N118" s="147"/>
      <c r="O118" s="219"/>
      <c r="P118" s="143"/>
      <c r="Q118" s="147"/>
      <c r="R118" s="141"/>
      <c r="S118" s="220"/>
      <c r="T118" s="219"/>
      <c r="U118" s="212">
        <f t="shared" si="8"/>
        <v>0</v>
      </c>
      <c r="V118" s="365">
        <f t="shared" si="10"/>
        <v>0</v>
      </c>
      <c r="W118" s="366">
        <f t="shared" si="11"/>
        <v>0</v>
      </c>
      <c r="X118" s="362">
        <f t="shared" si="7"/>
        <v>0</v>
      </c>
      <c r="Y118" s="294">
        <f t="shared" ca="1" si="9"/>
        <v>46104</v>
      </c>
      <c r="Z118" s="375"/>
      <c r="AA118" s="249"/>
      <c r="AB118" s="391">
        <f t="shared" ca="1" si="12"/>
        <v>-46104</v>
      </c>
    </row>
    <row r="119" spans="1:28" s="7" customFormat="1" ht="108" thickBot="1" x14ac:dyDescent="2">
      <c r="A119" s="16" t="s">
        <v>396</v>
      </c>
      <c r="B119" s="267"/>
      <c r="C119" s="309"/>
      <c r="D119" s="311"/>
      <c r="E119" s="310"/>
      <c r="F119" s="221"/>
      <c r="G119" s="151"/>
      <c r="H119" s="151"/>
      <c r="I119" s="151"/>
      <c r="J119" s="151"/>
      <c r="K119" s="222"/>
      <c r="L119" s="221"/>
      <c r="M119" s="151"/>
      <c r="N119" s="151"/>
      <c r="O119" s="222"/>
      <c r="P119" s="151"/>
      <c r="Q119" s="151"/>
      <c r="R119" s="151"/>
      <c r="S119" s="221"/>
      <c r="T119" s="222"/>
      <c r="U119" s="212"/>
      <c r="V119" s="365" t="e">
        <f t="shared" si="10"/>
        <v>#DIV/0!</v>
      </c>
      <c r="W119" s="366" t="e">
        <f t="shared" si="11"/>
        <v>#DIV/0!</v>
      </c>
      <c r="X119" s="362"/>
      <c r="Y119" s="294"/>
      <c r="Z119" s="376"/>
      <c r="AA119" s="250"/>
      <c r="AB119" s="391">
        <f t="shared" si="12"/>
        <v>0</v>
      </c>
    </row>
    <row r="120" spans="1:28" s="7" customFormat="1" ht="107.25" hidden="1" customHeight="1" x14ac:dyDescent="1.95">
      <c r="A120" s="16">
        <f>'MODIFICAR CODIGOS '!A120</f>
        <v>0</v>
      </c>
      <c r="B120" s="267">
        <f>'MODIFICAR CODIGOS '!B120</f>
        <v>0</v>
      </c>
      <c r="C120" s="282">
        <f>'MODIFICAR CODIGOS '!C120</f>
        <v>0</v>
      </c>
      <c r="D120" s="308">
        <f>'MODIFICAR CODIGOS '!D120</f>
        <v>0</v>
      </c>
      <c r="E120" s="16">
        <f>'MODIFICAR CODIGOS '!E120</f>
        <v>1</v>
      </c>
      <c r="F120" s="220"/>
      <c r="G120" s="147"/>
      <c r="H120" s="147"/>
      <c r="I120" s="147"/>
      <c r="J120" s="147"/>
      <c r="K120" s="219"/>
      <c r="L120" s="220"/>
      <c r="M120" s="147"/>
      <c r="N120" s="147"/>
      <c r="O120" s="219"/>
      <c r="P120" s="143"/>
      <c r="Q120" s="147"/>
      <c r="R120" s="141"/>
      <c r="S120" s="220"/>
      <c r="T120" s="219"/>
      <c r="U120" s="212">
        <f t="shared" si="8"/>
        <v>0</v>
      </c>
      <c r="V120" s="365">
        <f t="shared" si="10"/>
        <v>0</v>
      </c>
      <c r="W120" s="366">
        <f t="shared" si="11"/>
        <v>0</v>
      </c>
      <c r="X120" s="362">
        <f t="shared" si="7"/>
        <v>0</v>
      </c>
      <c r="Y120" s="294">
        <f t="shared" ca="1" si="9"/>
        <v>46104</v>
      </c>
      <c r="Z120" s="375"/>
      <c r="AA120" s="249"/>
      <c r="AB120" s="391">
        <f t="shared" ca="1" si="12"/>
        <v>-46104</v>
      </c>
    </row>
    <row r="121" spans="1:28" s="7" customFormat="1" ht="108" hidden="1" thickBot="1" x14ac:dyDescent="2">
      <c r="A121" s="16">
        <f>'MODIFICAR CODIGOS '!A121</f>
        <v>0</v>
      </c>
      <c r="B121" s="267">
        <f>'MODIFICAR CODIGOS '!B121</f>
        <v>0</v>
      </c>
      <c r="C121" s="282">
        <f>'MODIFICAR CODIGOS '!C121</f>
        <v>0</v>
      </c>
      <c r="D121" s="16">
        <f>'MODIFICAR CODIGOS '!D121</f>
        <v>0</v>
      </c>
      <c r="E121" s="16">
        <f>'MODIFICAR CODIGOS '!E121</f>
        <v>1</v>
      </c>
      <c r="F121" s="220"/>
      <c r="G121" s="147"/>
      <c r="H121" s="147"/>
      <c r="I121" s="147"/>
      <c r="J121" s="147"/>
      <c r="K121" s="219"/>
      <c r="L121" s="220"/>
      <c r="M121" s="147"/>
      <c r="N121" s="147"/>
      <c r="O121" s="219"/>
      <c r="P121" s="143"/>
      <c r="Q121" s="147"/>
      <c r="R121" s="141"/>
      <c r="S121" s="220"/>
      <c r="T121" s="219"/>
      <c r="U121" s="212">
        <f t="shared" si="8"/>
        <v>0</v>
      </c>
      <c r="V121" s="365">
        <f t="shared" si="10"/>
        <v>0</v>
      </c>
      <c r="W121" s="366">
        <f t="shared" si="11"/>
        <v>0</v>
      </c>
      <c r="X121" s="362">
        <f t="shared" si="7"/>
        <v>0</v>
      </c>
      <c r="Y121" s="294">
        <f t="shared" ca="1" si="9"/>
        <v>46104</v>
      </c>
      <c r="Z121" s="375"/>
      <c r="AA121" s="249"/>
      <c r="AB121" s="391">
        <f t="shared" ca="1" si="12"/>
        <v>-46104</v>
      </c>
    </row>
    <row r="122" spans="1:28" s="7" customFormat="1" ht="107.25" hidden="1" customHeight="1" x14ac:dyDescent="1.95">
      <c r="A122" s="16">
        <f>'MODIFICAR CODIGOS '!A122</f>
        <v>0</v>
      </c>
      <c r="B122" s="267">
        <f>'MODIFICAR CODIGOS '!B122</f>
        <v>0</v>
      </c>
      <c r="C122" s="282">
        <f>'MODIFICAR CODIGOS '!C122</f>
        <v>0</v>
      </c>
      <c r="D122" s="16">
        <f>'MODIFICAR CODIGOS '!D122</f>
        <v>0</v>
      </c>
      <c r="E122" s="16">
        <f>'MODIFICAR CODIGOS '!E122</f>
        <v>1</v>
      </c>
      <c r="F122" s="220"/>
      <c r="G122" s="147"/>
      <c r="H122" s="147"/>
      <c r="I122" s="147"/>
      <c r="J122" s="147"/>
      <c r="K122" s="219"/>
      <c r="L122" s="220"/>
      <c r="M122" s="147"/>
      <c r="N122" s="147"/>
      <c r="O122" s="219"/>
      <c r="P122" s="143"/>
      <c r="Q122" s="147"/>
      <c r="R122" s="141"/>
      <c r="S122" s="220"/>
      <c r="T122" s="219"/>
      <c r="U122" s="212">
        <f t="shared" si="8"/>
        <v>0</v>
      </c>
      <c r="V122" s="365">
        <f t="shared" si="10"/>
        <v>0</v>
      </c>
      <c r="W122" s="366">
        <f t="shared" si="11"/>
        <v>0</v>
      </c>
      <c r="X122" s="362">
        <f t="shared" si="7"/>
        <v>0</v>
      </c>
      <c r="Y122" s="294">
        <f t="shared" ca="1" si="9"/>
        <v>46104</v>
      </c>
      <c r="Z122" s="375"/>
      <c r="AA122" s="249"/>
      <c r="AB122" s="391">
        <f t="shared" ca="1" si="12"/>
        <v>-46104</v>
      </c>
    </row>
    <row r="123" spans="1:28" s="7" customFormat="1" ht="107.25" hidden="1" customHeight="1" x14ac:dyDescent="1.95">
      <c r="A123" s="16">
        <f>'MODIFICAR CODIGOS '!A123</f>
        <v>0</v>
      </c>
      <c r="B123" s="267">
        <f>'MODIFICAR CODIGOS '!B123</f>
        <v>0</v>
      </c>
      <c r="C123" s="282">
        <f>'MODIFICAR CODIGOS '!C123</f>
        <v>0</v>
      </c>
      <c r="D123" s="16">
        <f>'MODIFICAR CODIGOS '!D123</f>
        <v>0</v>
      </c>
      <c r="E123" s="16">
        <f>'MODIFICAR CODIGOS '!E123</f>
        <v>1</v>
      </c>
      <c r="F123" s="220"/>
      <c r="G123" s="147"/>
      <c r="H123" s="147"/>
      <c r="I123" s="147"/>
      <c r="J123" s="147"/>
      <c r="K123" s="219"/>
      <c r="L123" s="220"/>
      <c r="M123" s="147"/>
      <c r="N123" s="147"/>
      <c r="O123" s="219"/>
      <c r="P123" s="143"/>
      <c r="Q123" s="147"/>
      <c r="R123" s="141"/>
      <c r="S123" s="220"/>
      <c r="T123" s="219"/>
      <c r="U123" s="212">
        <f t="shared" si="8"/>
        <v>0</v>
      </c>
      <c r="V123" s="365">
        <f t="shared" si="10"/>
        <v>0</v>
      </c>
      <c r="W123" s="366">
        <f t="shared" si="11"/>
        <v>0</v>
      </c>
      <c r="X123" s="362">
        <f t="shared" si="7"/>
        <v>0</v>
      </c>
      <c r="Y123" s="294">
        <f t="shared" ca="1" si="9"/>
        <v>46104</v>
      </c>
      <c r="Z123" s="375"/>
      <c r="AA123" s="249"/>
      <c r="AB123" s="391">
        <f t="shared" ca="1" si="12"/>
        <v>-46104</v>
      </c>
    </row>
    <row r="124" spans="1:28" s="7" customFormat="1" ht="107.25" hidden="1" customHeight="1" x14ac:dyDescent="1.95">
      <c r="A124" s="16">
        <f>'MODIFICAR CODIGOS '!A124</f>
        <v>0</v>
      </c>
      <c r="B124" s="267">
        <f>'MODIFICAR CODIGOS '!B124</f>
        <v>0</v>
      </c>
      <c r="C124" s="282">
        <f>'MODIFICAR CODIGOS '!C124</f>
        <v>0</v>
      </c>
      <c r="D124" s="16">
        <f>'MODIFICAR CODIGOS '!D124</f>
        <v>0</v>
      </c>
      <c r="E124" s="16">
        <f>'MODIFICAR CODIGOS '!E124</f>
        <v>1</v>
      </c>
      <c r="F124" s="220"/>
      <c r="G124" s="147"/>
      <c r="H124" s="147"/>
      <c r="I124" s="147"/>
      <c r="J124" s="147"/>
      <c r="K124" s="219"/>
      <c r="L124" s="220"/>
      <c r="M124" s="147"/>
      <c r="N124" s="147"/>
      <c r="O124" s="219"/>
      <c r="P124" s="143"/>
      <c r="Q124" s="147"/>
      <c r="R124" s="141"/>
      <c r="S124" s="220"/>
      <c r="T124" s="219"/>
      <c r="U124" s="212">
        <f t="shared" si="8"/>
        <v>0</v>
      </c>
      <c r="V124" s="365">
        <f t="shared" si="10"/>
        <v>0</v>
      </c>
      <c r="W124" s="366">
        <f t="shared" si="11"/>
        <v>0</v>
      </c>
      <c r="X124" s="362">
        <f t="shared" si="7"/>
        <v>0</v>
      </c>
      <c r="Y124" s="294">
        <f t="shared" ca="1" si="9"/>
        <v>46104</v>
      </c>
      <c r="Z124" s="375"/>
      <c r="AA124" s="249"/>
      <c r="AB124" s="391">
        <f t="shared" ca="1" si="12"/>
        <v>-46104</v>
      </c>
    </row>
    <row r="125" spans="1:28" s="7" customFormat="1" ht="107.25" hidden="1" customHeight="1" thickBot="1" x14ac:dyDescent="2">
      <c r="A125" s="16">
        <f>'MODIFICAR CODIGOS '!A125</f>
        <v>0</v>
      </c>
      <c r="B125" s="267">
        <f>'MODIFICAR CODIGOS '!B125</f>
        <v>0</v>
      </c>
      <c r="C125" s="282">
        <f>'MODIFICAR CODIGOS '!C125</f>
        <v>0</v>
      </c>
      <c r="D125" s="16">
        <f>'MODIFICAR CODIGOS '!D125</f>
        <v>0</v>
      </c>
      <c r="E125" s="16">
        <f>'MODIFICAR CODIGOS '!E125</f>
        <v>1</v>
      </c>
      <c r="F125" s="220"/>
      <c r="G125" s="147"/>
      <c r="H125" s="147"/>
      <c r="I125" s="147"/>
      <c r="J125" s="147"/>
      <c r="K125" s="219"/>
      <c r="L125" s="220"/>
      <c r="M125" s="147"/>
      <c r="N125" s="147"/>
      <c r="O125" s="219"/>
      <c r="P125" s="143"/>
      <c r="Q125" s="147"/>
      <c r="R125" s="141"/>
      <c r="S125" s="220"/>
      <c r="T125" s="219"/>
      <c r="U125" s="212">
        <f t="shared" si="8"/>
        <v>0</v>
      </c>
      <c r="V125" s="365">
        <f t="shared" si="10"/>
        <v>0</v>
      </c>
      <c r="W125" s="366">
        <f t="shared" si="11"/>
        <v>0</v>
      </c>
      <c r="X125" s="362">
        <f t="shared" si="7"/>
        <v>0</v>
      </c>
      <c r="Y125" s="294">
        <f t="shared" ca="1" si="9"/>
        <v>46104</v>
      </c>
      <c r="Z125" s="375"/>
      <c r="AA125" s="249"/>
      <c r="AB125" s="391">
        <f t="shared" ca="1" si="12"/>
        <v>-46104</v>
      </c>
    </row>
    <row r="126" spans="1:28" s="7" customFormat="1" ht="108" customHeight="1" thickBot="1" x14ac:dyDescent="2">
      <c r="A126" s="55" t="s">
        <v>0</v>
      </c>
      <c r="B126" s="263" t="s">
        <v>1</v>
      </c>
      <c r="C126" s="280" t="s">
        <v>114</v>
      </c>
      <c r="D126" s="57" t="s">
        <v>115</v>
      </c>
      <c r="E126" s="281" t="s">
        <v>406</v>
      </c>
      <c r="F126" s="399" t="s">
        <v>408</v>
      </c>
      <c r="G126" s="400"/>
      <c r="H126" s="400"/>
      <c r="I126" s="400"/>
      <c r="J126" s="400"/>
      <c r="K126" s="401"/>
      <c r="L126" s="402" t="s">
        <v>409</v>
      </c>
      <c r="M126" s="403"/>
      <c r="N126" s="403"/>
      <c r="O126" s="404"/>
      <c r="P126" s="405" t="s">
        <v>411</v>
      </c>
      <c r="Q126" s="405"/>
      <c r="R126" s="405"/>
      <c r="S126" s="402" t="s">
        <v>410</v>
      </c>
      <c r="T126" s="404"/>
      <c r="U126" s="358" t="s">
        <v>2</v>
      </c>
      <c r="V126" s="365" t="e">
        <f t="shared" si="10"/>
        <v>#VALUE!</v>
      </c>
      <c r="W126" s="366" t="e">
        <f t="shared" si="11"/>
        <v>#VALUE!</v>
      </c>
      <c r="X126" s="369" t="s">
        <v>478</v>
      </c>
      <c r="Y126" s="253" t="s">
        <v>412</v>
      </c>
      <c r="Z126" s="374"/>
      <c r="AA126" s="386" t="s">
        <v>413</v>
      </c>
      <c r="AB126" s="392" t="s">
        <v>479</v>
      </c>
    </row>
    <row r="127" spans="1:28" s="7" customFormat="1" ht="108" customHeight="1" x14ac:dyDescent="1.95">
      <c r="A127" s="10">
        <f>'MODIFICAR CODIGOS '!A127</f>
        <v>120181</v>
      </c>
      <c r="B127" s="269" t="str">
        <f>'MODIFICAR CODIGOS '!B127</f>
        <v>MONSTER MANGO X12 473ML LAT(12) MQ</v>
      </c>
      <c r="C127" s="283">
        <f>'MODIFICAR CODIGOS '!C127</f>
        <v>1</v>
      </c>
      <c r="D127" s="10">
        <f>'MODIFICAR CODIGOS '!D127</f>
        <v>22</v>
      </c>
      <c r="E127" s="10">
        <f>'MODIFICAR CODIGOS '!E127</f>
        <v>12</v>
      </c>
      <c r="F127" s="220"/>
      <c r="G127" s="147"/>
      <c r="H127" s="147"/>
      <c r="I127" s="147"/>
      <c r="J127" s="147"/>
      <c r="K127" s="219"/>
      <c r="L127" s="220"/>
      <c r="M127" s="147"/>
      <c r="N127" s="147"/>
      <c r="O127" s="219"/>
      <c r="P127" s="143"/>
      <c r="Q127" s="147">
        <v>11</v>
      </c>
      <c r="R127" s="141"/>
      <c r="S127" s="220">
        <v>3</v>
      </c>
      <c r="T127" s="219"/>
      <c r="U127" s="355">
        <f>(F127*C127+G127*C127+H127*C127+I127*C127+J127*C127+K127*C127+L127*D127+M127*D127+N127*D127+O127*D127+P127*1+Q127*1+R127*1+(TRUNC((S127+T127)/E127)))+(((S127+T127)/E127-TRUNC((S127+T127)/E127))*E127)/100</f>
        <v>11.03</v>
      </c>
      <c r="V127" s="365">
        <f t="shared" si="10"/>
        <v>11</v>
      </c>
      <c r="W127" s="366">
        <f t="shared" si="11"/>
        <v>3</v>
      </c>
      <c r="X127" s="362">
        <f t="shared" ref="X127:X190" si="13">V127+W127/E127</f>
        <v>11.25</v>
      </c>
      <c r="Y127" s="294">
        <f t="shared" ref="Y127:Y190" ca="1" si="14">TODAY()</f>
        <v>46104</v>
      </c>
      <c r="Z127" s="375"/>
      <c r="AA127" s="384"/>
      <c r="AB127" s="391">
        <f t="shared" ca="1" si="12"/>
        <v>-46104</v>
      </c>
    </row>
    <row r="128" spans="1:28" s="7" customFormat="1" ht="108" customHeight="1" x14ac:dyDescent="1.95">
      <c r="A128" s="10">
        <f>'MODIFICAR CODIGOS '!A128</f>
        <v>120156</v>
      </c>
      <c r="B128" s="269" t="str">
        <f>'MODIFICAR CODIGOS '!B128</f>
        <v>MONSTER GREEN X12 473ML LAT(12) MQ</v>
      </c>
      <c r="C128" s="283">
        <f>'MODIFICAR CODIGOS '!C128</f>
        <v>1</v>
      </c>
      <c r="D128" s="10">
        <f>'MODIFICAR CODIGOS '!D128</f>
        <v>22</v>
      </c>
      <c r="E128" s="10">
        <f>'MODIFICAR CODIGOS '!E128</f>
        <v>12</v>
      </c>
      <c r="F128" s="220"/>
      <c r="G128" s="147"/>
      <c r="H128" s="147"/>
      <c r="I128" s="147"/>
      <c r="J128" s="147"/>
      <c r="K128" s="219"/>
      <c r="L128" s="220"/>
      <c r="M128" s="147"/>
      <c r="N128" s="147"/>
      <c r="O128" s="219"/>
      <c r="P128" s="143"/>
      <c r="Q128" s="147">
        <v>6</v>
      </c>
      <c r="R128" s="141"/>
      <c r="S128" s="220"/>
      <c r="T128" s="219"/>
      <c r="U128" s="355">
        <f t="shared" ref="U128:U191" si="15">(F128*C128+G128*C128+H128*C128+I128*C128+J128*C128+K128*C128+L128*D128+M128*D128+N128*D128+O128*D128+P128*1+Q128*1+R128*1+(TRUNC((S128+T128)/E128)))+(((S128+T128)/E128-TRUNC((S128+T128)/E128))*E128)/100</f>
        <v>6</v>
      </c>
      <c r="V128" s="365">
        <f t="shared" si="10"/>
        <v>6</v>
      </c>
      <c r="W128" s="366">
        <f t="shared" si="11"/>
        <v>0</v>
      </c>
      <c r="X128" s="362">
        <f t="shared" si="13"/>
        <v>6</v>
      </c>
      <c r="Y128" s="294">
        <f t="shared" ca="1" si="14"/>
        <v>46104</v>
      </c>
      <c r="Z128" s="375"/>
      <c r="AA128" s="384"/>
      <c r="AB128" s="391">
        <f t="shared" ca="1" si="12"/>
        <v>-46104</v>
      </c>
    </row>
    <row r="129" spans="1:28" s="7" customFormat="1" ht="108" customHeight="1" x14ac:dyDescent="1.95">
      <c r="A129" s="10">
        <f>'MODIFICAR CODIGOS '!A129</f>
        <v>120182</v>
      </c>
      <c r="B129" s="269" t="str">
        <f>'MODIFICAR CODIGOS '!B129</f>
        <v>MONSTER PARADISE 473ML LAT(12) MQ</v>
      </c>
      <c r="C129" s="283">
        <f>'MODIFICAR CODIGOS '!C129</f>
        <v>1</v>
      </c>
      <c r="D129" s="10">
        <f>'MODIFICAR CODIGOS '!D129</f>
        <v>22</v>
      </c>
      <c r="E129" s="10">
        <f>'MODIFICAR CODIGOS '!E129</f>
        <v>12</v>
      </c>
      <c r="F129" s="220"/>
      <c r="G129" s="147"/>
      <c r="H129" s="147"/>
      <c r="I129" s="147"/>
      <c r="J129" s="147"/>
      <c r="K129" s="219"/>
      <c r="L129" s="220"/>
      <c r="M129" s="147"/>
      <c r="N129" s="147"/>
      <c r="O129" s="219"/>
      <c r="P129" s="143"/>
      <c r="Q129" s="147">
        <v>29</v>
      </c>
      <c r="R129" s="141"/>
      <c r="S129" s="220">
        <v>10</v>
      </c>
      <c r="T129" s="219"/>
      <c r="U129" s="355">
        <f t="shared" si="15"/>
        <v>29.1</v>
      </c>
      <c r="V129" s="365">
        <f t="shared" si="10"/>
        <v>29</v>
      </c>
      <c r="W129" s="366">
        <f t="shared" si="11"/>
        <v>10</v>
      </c>
      <c r="X129" s="362">
        <f t="shared" si="13"/>
        <v>29.833333333333332</v>
      </c>
      <c r="Y129" s="294">
        <f t="shared" ca="1" si="14"/>
        <v>46104</v>
      </c>
      <c r="Z129" s="375"/>
      <c r="AA129" s="384"/>
      <c r="AB129" s="391">
        <f t="shared" ca="1" si="12"/>
        <v>-46104</v>
      </c>
    </row>
    <row r="130" spans="1:28" s="7" customFormat="1" ht="108" customHeight="1" x14ac:dyDescent="1.95">
      <c r="A130" s="10">
        <f>'MODIFICAR CODIGOS '!A130</f>
        <v>120183</v>
      </c>
      <c r="B130" s="269" t="str">
        <f>'MODIFICAR CODIGOS '!B130</f>
        <v>MONSTER ULTRA 473ML LAT(12) MQ</v>
      </c>
      <c r="C130" s="283">
        <f>'MODIFICAR CODIGOS '!C130</f>
        <v>1</v>
      </c>
      <c r="D130" s="10">
        <f>'MODIFICAR CODIGOS '!D130</f>
        <v>22</v>
      </c>
      <c r="E130" s="10">
        <f>'MODIFICAR CODIGOS '!E130</f>
        <v>12</v>
      </c>
      <c r="F130" s="220"/>
      <c r="G130" s="147"/>
      <c r="H130" s="147"/>
      <c r="I130" s="147"/>
      <c r="J130" s="147"/>
      <c r="K130" s="219"/>
      <c r="L130" s="220"/>
      <c r="M130" s="147"/>
      <c r="N130" s="147"/>
      <c r="O130" s="219"/>
      <c r="P130" s="143"/>
      <c r="Q130" s="147">
        <v>13</v>
      </c>
      <c r="R130" s="141"/>
      <c r="S130" s="220"/>
      <c r="T130" s="219"/>
      <c r="U130" s="355">
        <f t="shared" si="15"/>
        <v>13</v>
      </c>
      <c r="V130" s="365">
        <f t="shared" si="10"/>
        <v>13</v>
      </c>
      <c r="W130" s="366">
        <f t="shared" si="11"/>
        <v>0</v>
      </c>
      <c r="X130" s="362">
        <f t="shared" si="13"/>
        <v>13</v>
      </c>
      <c r="Y130" s="294">
        <f t="shared" ca="1" si="14"/>
        <v>46104</v>
      </c>
      <c r="Z130" s="375"/>
      <c r="AA130" s="384"/>
      <c r="AB130" s="391">
        <f t="shared" ca="1" si="12"/>
        <v>-46104</v>
      </c>
    </row>
    <row r="131" spans="1:28" s="7" customFormat="1" ht="108" customHeight="1" x14ac:dyDescent="1.95">
      <c r="A131" s="10">
        <f>'MODIFICAR CODIGOS '!A131</f>
        <v>160259</v>
      </c>
      <c r="B131" s="269" t="str">
        <f>'MODIFICAR CODIGOS '!B131</f>
        <v>MONSTER GREEN LATA 473ML(24)</v>
      </c>
      <c r="C131" s="283">
        <f>'MODIFICAR CODIGOS '!C131</f>
        <v>70</v>
      </c>
      <c r="D131" s="10">
        <f>'MODIFICAR CODIGOS '!D131</f>
        <v>10</v>
      </c>
      <c r="E131" s="10">
        <f>'MODIFICAR CODIGOS '!E131</f>
        <v>24</v>
      </c>
      <c r="F131" s="220"/>
      <c r="G131" s="147"/>
      <c r="H131" s="147"/>
      <c r="I131" s="147"/>
      <c r="J131" s="147"/>
      <c r="K131" s="219"/>
      <c r="L131" s="220"/>
      <c r="M131" s="147"/>
      <c r="N131" s="147"/>
      <c r="O131" s="219"/>
      <c r="P131" s="143"/>
      <c r="Q131" s="147"/>
      <c r="R131" s="141"/>
      <c r="S131" s="220"/>
      <c r="T131" s="219"/>
      <c r="U131" s="355">
        <f t="shared" si="15"/>
        <v>0</v>
      </c>
      <c r="V131" s="365">
        <f t="shared" ref="V131:V194" si="16">(F131*C131+G131*C131+H131*C131+I131*C131+J131*C131+K131*C131+L131*D131+M131*D131+N131*D131+O131*D131+P131*1+Q131*1+R131*1+(TRUNC((S131+T131)/E131)))</f>
        <v>0</v>
      </c>
      <c r="W131" s="366">
        <f t="shared" ref="W131:W194" si="17">(((S131+T131)/E131-TRUNC((S131+T131)/E131))*E131)</f>
        <v>0</v>
      </c>
      <c r="X131" s="362">
        <f t="shared" si="13"/>
        <v>0</v>
      </c>
      <c r="Y131" s="294">
        <f t="shared" ca="1" si="14"/>
        <v>46104</v>
      </c>
      <c r="Z131" s="375"/>
      <c r="AA131" s="384"/>
      <c r="AB131" s="391">
        <f t="shared" ca="1" si="12"/>
        <v>-46104</v>
      </c>
    </row>
    <row r="132" spans="1:28" s="7" customFormat="1" ht="108" customHeight="1" x14ac:dyDescent="1.95">
      <c r="A132" s="10">
        <f>'MODIFICAR CODIGOS '!A132</f>
        <v>120023</v>
      </c>
      <c r="B132" s="49" t="str">
        <f>'MODIFICAR CODIGOS '!B132</f>
        <v>MONSTER BLUE ZERO 473 MLLAT(24)</v>
      </c>
      <c r="C132" s="283">
        <f>'MODIFICAR CODIGOS '!C132</f>
        <v>70</v>
      </c>
      <c r="D132" s="316">
        <f>'MODIFICAR CODIGOS '!D132</f>
        <v>10</v>
      </c>
      <c r="E132" s="10">
        <f>'MODIFICAR CODIGOS '!E132</f>
        <v>24</v>
      </c>
      <c r="F132" s="220"/>
      <c r="G132" s="147"/>
      <c r="H132" s="147"/>
      <c r="I132" s="147"/>
      <c r="J132" s="147"/>
      <c r="K132" s="219"/>
      <c r="L132" s="220"/>
      <c r="M132" s="147"/>
      <c r="N132" s="147"/>
      <c r="O132" s="219"/>
      <c r="P132" s="143"/>
      <c r="Q132" s="147"/>
      <c r="R132" s="141"/>
      <c r="S132" s="220"/>
      <c r="T132" s="219"/>
      <c r="U132" s="355">
        <f t="shared" si="15"/>
        <v>0</v>
      </c>
      <c r="V132" s="365">
        <f t="shared" si="16"/>
        <v>0</v>
      </c>
      <c r="W132" s="366">
        <f t="shared" si="17"/>
        <v>0</v>
      </c>
      <c r="X132" s="362">
        <f t="shared" si="13"/>
        <v>0</v>
      </c>
      <c r="Y132" s="294">
        <f t="shared" ca="1" si="14"/>
        <v>46104</v>
      </c>
      <c r="Z132" s="375"/>
      <c r="AA132" s="384"/>
      <c r="AB132" s="391">
        <f t="shared" ca="1" si="12"/>
        <v>-46104</v>
      </c>
    </row>
    <row r="133" spans="1:28" s="7" customFormat="1" ht="108" customHeight="1" x14ac:dyDescent="1.95">
      <c r="A133" s="10">
        <f>'MODIFICAR CODIGOS '!A133</f>
        <v>120027</v>
      </c>
      <c r="B133" s="49" t="str">
        <f>'MODIFICAR CODIGOS '!B133</f>
        <v>MONSTER VIOLET  473ML(24)</v>
      </c>
      <c r="C133" s="283">
        <f>'MODIFICAR CODIGOS '!C133</f>
        <v>70</v>
      </c>
      <c r="D133" s="316">
        <f>'MODIFICAR CODIGOS '!D133</f>
        <v>10</v>
      </c>
      <c r="E133" s="10">
        <f>'MODIFICAR CODIGOS '!E133</f>
        <v>24</v>
      </c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>
        <v>23</v>
      </c>
      <c r="R133" s="147"/>
      <c r="S133" s="147">
        <v>11</v>
      </c>
      <c r="T133" s="147"/>
      <c r="U133" s="355">
        <f t="shared" si="15"/>
        <v>23.11</v>
      </c>
      <c r="V133" s="365">
        <f t="shared" si="16"/>
        <v>23</v>
      </c>
      <c r="W133" s="366">
        <f t="shared" si="17"/>
        <v>11</v>
      </c>
      <c r="X133" s="362">
        <f t="shared" si="13"/>
        <v>23.458333333333332</v>
      </c>
      <c r="Y133" s="294">
        <f t="shared" ca="1" si="14"/>
        <v>46104</v>
      </c>
      <c r="Z133" s="349"/>
      <c r="AA133" s="384"/>
      <c r="AB133" s="391">
        <f t="shared" ca="1" si="12"/>
        <v>-46104</v>
      </c>
    </row>
    <row r="134" spans="1:28" s="7" customFormat="1" ht="108" customHeight="1" x14ac:dyDescent="1.95">
      <c r="A134" s="10">
        <f>'MODIFICAR CODIGOS '!A134</f>
        <v>160378</v>
      </c>
      <c r="B134" s="49" t="str">
        <f>'MODIFICAR CODIGOS '!B134</f>
        <v>MONSTER ULTRA LATA 4 PACK  473ML(24)</v>
      </c>
      <c r="C134" s="283">
        <f>'MODIFICAR CODIGOS '!C134</f>
        <v>70</v>
      </c>
      <c r="D134" s="316">
        <f>'MODIFICAR CODIGOS '!D134</f>
        <v>10</v>
      </c>
      <c r="E134" s="10">
        <f>'MODIFICAR CODIGOS '!E134</f>
        <v>24</v>
      </c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355">
        <f t="shared" si="15"/>
        <v>0</v>
      </c>
      <c r="V134" s="365">
        <f t="shared" si="16"/>
        <v>0</v>
      </c>
      <c r="W134" s="366">
        <f t="shared" si="17"/>
        <v>0</v>
      </c>
      <c r="X134" s="362">
        <f t="shared" si="13"/>
        <v>0</v>
      </c>
      <c r="Y134" s="294">
        <f t="shared" ca="1" si="14"/>
        <v>46104</v>
      </c>
      <c r="Z134" s="349"/>
      <c r="AA134" s="384"/>
      <c r="AB134" s="391">
        <f t="shared" ca="1" si="12"/>
        <v>-46104</v>
      </c>
    </row>
    <row r="135" spans="1:28" s="7" customFormat="1" ht="108" customHeight="1" x14ac:dyDescent="1.95">
      <c r="A135" s="10">
        <f>'MODIFICAR CODIGOS '!A135</f>
        <v>120057</v>
      </c>
      <c r="B135" s="49" t="str">
        <f>'MODIFICAR CODIGOS '!B135</f>
        <v>MONSTER MANGO  473ML(24)</v>
      </c>
      <c r="C135" s="283">
        <f>'MODIFICAR CODIGOS '!C135</f>
        <v>70</v>
      </c>
      <c r="D135" s="316">
        <f>'MODIFICAR CODIGOS '!D135</f>
        <v>10</v>
      </c>
      <c r="E135" s="10">
        <f>'MODIFICAR CODIGOS '!E135</f>
        <v>24</v>
      </c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355">
        <f t="shared" si="15"/>
        <v>0</v>
      </c>
      <c r="V135" s="365">
        <f t="shared" si="16"/>
        <v>0</v>
      </c>
      <c r="W135" s="366">
        <f t="shared" si="17"/>
        <v>0</v>
      </c>
      <c r="X135" s="362">
        <f t="shared" si="13"/>
        <v>0</v>
      </c>
      <c r="Y135" s="294">
        <f t="shared" ca="1" si="14"/>
        <v>46104</v>
      </c>
      <c r="Z135" s="349"/>
      <c r="AA135" s="384"/>
      <c r="AB135" s="391">
        <f t="shared" ca="1" si="12"/>
        <v>-46104</v>
      </c>
    </row>
    <row r="136" spans="1:28" s="7" customFormat="1" ht="108" customHeight="1" x14ac:dyDescent="1.95">
      <c r="A136" s="10">
        <f>'MODIFICAR CODIGOS '!A136</f>
        <v>120112</v>
      </c>
      <c r="B136" s="49" t="str">
        <f>'MODIFICAR CODIGOS '!B136</f>
        <v>MONSTER PARADAISE 473ML LAT(24)</v>
      </c>
      <c r="C136" s="283">
        <f>'MODIFICAR CODIGOS '!C136</f>
        <v>70</v>
      </c>
      <c r="D136" s="316">
        <f>'MODIFICAR CODIGOS '!D136</f>
        <v>10</v>
      </c>
      <c r="E136" s="10">
        <f>'MODIFICAR CODIGOS '!E136</f>
        <v>24</v>
      </c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355">
        <f t="shared" si="15"/>
        <v>0</v>
      </c>
      <c r="V136" s="365">
        <f t="shared" si="16"/>
        <v>0</v>
      </c>
      <c r="W136" s="366">
        <f t="shared" si="17"/>
        <v>0</v>
      </c>
      <c r="X136" s="362">
        <f t="shared" si="13"/>
        <v>0</v>
      </c>
      <c r="Y136" s="294">
        <f t="shared" ca="1" si="14"/>
        <v>46104</v>
      </c>
      <c r="Z136" s="349"/>
      <c r="AA136" s="384"/>
      <c r="AB136" s="391">
        <f t="shared" ca="1" si="12"/>
        <v>-46104</v>
      </c>
    </row>
    <row r="137" spans="1:28" s="7" customFormat="1" ht="108" customHeight="1" x14ac:dyDescent="1.95">
      <c r="A137" s="10">
        <f>'MODIFICAR CODIGOS '!A137</f>
        <v>120175</v>
      </c>
      <c r="B137" s="49" t="str">
        <f>'MODIFICAR CODIGOS '!B137</f>
        <v>MONSTER PIPELINE PUNCH 473ML LAT(24)</v>
      </c>
      <c r="C137" s="283">
        <f>'MODIFICAR CODIGOS '!C137</f>
        <v>70</v>
      </c>
      <c r="D137" s="316">
        <f>'MODIFICAR CODIGOS '!D137</f>
        <v>10</v>
      </c>
      <c r="E137" s="10">
        <f>'MODIFICAR CODIGOS '!E137</f>
        <v>24</v>
      </c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>
        <v>20</v>
      </c>
      <c r="R137" s="147"/>
      <c r="S137" s="147">
        <v>8</v>
      </c>
      <c r="T137" s="147"/>
      <c r="U137" s="355">
        <f t="shared" si="15"/>
        <v>20.079999999999998</v>
      </c>
      <c r="V137" s="365">
        <f t="shared" si="16"/>
        <v>20</v>
      </c>
      <c r="W137" s="366">
        <f t="shared" si="17"/>
        <v>8</v>
      </c>
      <c r="X137" s="362">
        <f t="shared" si="13"/>
        <v>20.333333333333332</v>
      </c>
      <c r="Y137" s="294">
        <f t="shared" ca="1" si="14"/>
        <v>46104</v>
      </c>
      <c r="Z137" s="349"/>
      <c r="AA137" s="384"/>
      <c r="AB137" s="391">
        <f t="shared" ca="1" si="12"/>
        <v>-46104</v>
      </c>
    </row>
    <row r="138" spans="1:28" s="7" customFormat="1" ht="108" hidden="1" customHeight="1" x14ac:dyDescent="1.95">
      <c r="A138" s="10">
        <f>'MODIFICAR CODIGOS '!A138</f>
        <v>0</v>
      </c>
      <c r="B138" s="49">
        <f>'MODIFICAR CODIGOS '!B138</f>
        <v>0</v>
      </c>
      <c r="C138" s="283">
        <f>'MODIFICAR CODIGOS '!C138</f>
        <v>0</v>
      </c>
      <c r="D138" s="316">
        <f>'MODIFICAR CODIGOS '!D138</f>
        <v>0</v>
      </c>
      <c r="E138" s="10">
        <f>'MODIFICAR CODIGOS '!E138</f>
        <v>1</v>
      </c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355">
        <f t="shared" si="15"/>
        <v>0</v>
      </c>
      <c r="V138" s="365">
        <f t="shared" si="16"/>
        <v>0</v>
      </c>
      <c r="W138" s="366">
        <f t="shared" si="17"/>
        <v>0</v>
      </c>
      <c r="X138" s="362">
        <f t="shared" si="13"/>
        <v>0</v>
      </c>
      <c r="Y138" s="294">
        <f t="shared" ca="1" si="14"/>
        <v>46104</v>
      </c>
      <c r="Z138" s="349"/>
      <c r="AA138" s="349"/>
      <c r="AB138" s="391">
        <f t="shared" ca="1" si="12"/>
        <v>-46104</v>
      </c>
    </row>
    <row r="139" spans="1:28" s="7" customFormat="1" ht="108" customHeight="1" x14ac:dyDescent="1.95">
      <c r="A139" s="10" t="s">
        <v>396</v>
      </c>
      <c r="B139" s="49"/>
      <c r="C139" s="236"/>
      <c r="D139" s="71"/>
      <c r="E139" s="71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1"/>
      <c r="U139" s="348"/>
      <c r="V139" s="365" t="e">
        <f t="shared" si="16"/>
        <v>#DIV/0!</v>
      </c>
      <c r="W139" s="366" t="e">
        <f t="shared" si="17"/>
        <v>#DIV/0!</v>
      </c>
      <c r="X139" s="394"/>
      <c r="Y139" s="395"/>
      <c r="Z139" s="349"/>
      <c r="AA139" s="349"/>
      <c r="AB139" s="391">
        <f t="shared" si="12"/>
        <v>0</v>
      </c>
    </row>
    <row r="140" spans="1:28" s="7" customFormat="1" ht="108" customHeight="1" x14ac:dyDescent="1.95">
      <c r="A140" s="10">
        <f>'MODIFICAR CODIGOS '!A140</f>
        <v>160186</v>
      </c>
      <c r="B140" s="269" t="str">
        <f>'MODIFICAR CODIGOS '!B140</f>
        <v>FUZE TEA TE NEGRO DURAZNO PET 400 ML  (6)</v>
      </c>
      <c r="C140" s="283">
        <f>'MODIFICAR CODIGOS '!C140</f>
        <v>424</v>
      </c>
      <c r="D140" s="317">
        <f>'MODIFICAR CODIGOS '!D140</f>
        <v>53</v>
      </c>
      <c r="E140" s="10">
        <f>'MODIFICAR CODIGOS '!E140</f>
        <v>6</v>
      </c>
      <c r="F140" s="220"/>
      <c r="G140" s="147"/>
      <c r="H140" s="147"/>
      <c r="I140" s="147"/>
      <c r="J140" s="147"/>
      <c r="K140" s="219"/>
      <c r="L140" s="220"/>
      <c r="M140" s="147"/>
      <c r="N140" s="147"/>
      <c r="O140" s="219"/>
      <c r="P140" s="143"/>
      <c r="Q140" s="147">
        <v>2</v>
      </c>
      <c r="R140" s="141"/>
      <c r="S140" s="220"/>
      <c r="T140" s="219"/>
      <c r="U140" s="355">
        <f t="shared" si="15"/>
        <v>2</v>
      </c>
      <c r="V140" s="365">
        <f t="shared" si="16"/>
        <v>2</v>
      </c>
      <c r="W140" s="366">
        <f t="shared" si="17"/>
        <v>0</v>
      </c>
      <c r="X140" s="362">
        <f t="shared" si="13"/>
        <v>2</v>
      </c>
      <c r="Y140" s="294">
        <f t="shared" ca="1" si="14"/>
        <v>46104</v>
      </c>
      <c r="Z140" s="375"/>
      <c r="AA140" s="384"/>
      <c r="AB140" s="391">
        <f t="shared" ca="1" si="12"/>
        <v>-46104</v>
      </c>
    </row>
    <row r="141" spans="1:28" s="7" customFormat="1" ht="108" customHeight="1" x14ac:dyDescent="1.95">
      <c r="A141" s="10">
        <f>'MODIFICAR CODIGOS '!A141</f>
        <v>160187</v>
      </c>
      <c r="B141" s="269" t="str">
        <f>'MODIFICAR CODIGOS '!B141</f>
        <v>FUZE TEA TE NEGRO LIMON PET 400 (6)</v>
      </c>
      <c r="C141" s="283">
        <f>'MODIFICAR CODIGOS '!C141</f>
        <v>424</v>
      </c>
      <c r="D141" s="10">
        <f>'MODIFICAR CODIGOS '!D141</f>
        <v>53</v>
      </c>
      <c r="E141" s="10">
        <f>'MODIFICAR CODIGOS '!E141</f>
        <v>6</v>
      </c>
      <c r="F141" s="220"/>
      <c r="G141" s="147"/>
      <c r="H141" s="147"/>
      <c r="I141" s="147"/>
      <c r="J141" s="147"/>
      <c r="K141" s="219"/>
      <c r="L141" s="220"/>
      <c r="M141" s="147"/>
      <c r="N141" s="147"/>
      <c r="O141" s="219"/>
      <c r="P141" s="143"/>
      <c r="Q141" s="147"/>
      <c r="R141" s="141"/>
      <c r="S141" s="220"/>
      <c r="T141" s="219"/>
      <c r="U141" s="355">
        <f t="shared" si="15"/>
        <v>0</v>
      </c>
      <c r="V141" s="365">
        <f t="shared" si="16"/>
        <v>0</v>
      </c>
      <c r="W141" s="366">
        <f t="shared" si="17"/>
        <v>0</v>
      </c>
      <c r="X141" s="362">
        <f t="shared" si="13"/>
        <v>0</v>
      </c>
      <c r="Y141" s="294">
        <f t="shared" ca="1" si="14"/>
        <v>46104</v>
      </c>
      <c r="Z141" s="375"/>
      <c r="AA141" s="384"/>
      <c r="AB141" s="391">
        <f t="shared" ca="1" si="12"/>
        <v>-46104</v>
      </c>
    </row>
    <row r="142" spans="1:28" s="7" customFormat="1" ht="107.4" x14ac:dyDescent="1.95">
      <c r="A142" s="10">
        <f>'MODIFICAR CODIGOS '!A142</f>
        <v>160188</v>
      </c>
      <c r="B142" s="269" t="str">
        <f>'MODIFICAR CODIGOS '!B142</f>
        <v>FUZE TEA TE NEGRO MANZANA PET 400 (6)</v>
      </c>
      <c r="C142" s="283">
        <f>'MODIFICAR CODIGOS '!C142</f>
        <v>424</v>
      </c>
      <c r="D142" s="10">
        <f>'MODIFICAR CODIGOS '!D142</f>
        <v>53</v>
      </c>
      <c r="E142" s="10">
        <f>'MODIFICAR CODIGOS '!E142</f>
        <v>6</v>
      </c>
      <c r="F142" s="220"/>
      <c r="G142" s="147"/>
      <c r="H142" s="147"/>
      <c r="I142" s="147"/>
      <c r="J142" s="147"/>
      <c r="K142" s="219"/>
      <c r="L142" s="220"/>
      <c r="M142" s="147"/>
      <c r="N142" s="147"/>
      <c r="O142" s="219"/>
      <c r="P142" s="143"/>
      <c r="Q142" s="147">
        <v>8</v>
      </c>
      <c r="R142" s="141">
        <v>1</v>
      </c>
      <c r="S142" s="220"/>
      <c r="T142" s="219"/>
      <c r="U142" s="355">
        <f t="shared" si="15"/>
        <v>9</v>
      </c>
      <c r="V142" s="365">
        <f t="shared" si="16"/>
        <v>9</v>
      </c>
      <c r="W142" s="366">
        <f t="shared" si="17"/>
        <v>0</v>
      </c>
      <c r="X142" s="362">
        <f t="shared" si="13"/>
        <v>9</v>
      </c>
      <c r="Y142" s="294">
        <f t="shared" ca="1" si="14"/>
        <v>46104</v>
      </c>
      <c r="Z142" s="375"/>
      <c r="AA142" s="384"/>
      <c r="AB142" s="391">
        <f t="shared" ca="1" si="12"/>
        <v>-46104</v>
      </c>
    </row>
    <row r="143" spans="1:28" s="7" customFormat="1" ht="107.4" x14ac:dyDescent="1.95">
      <c r="A143" s="10">
        <f>'MODIFICAR CODIGOS '!A143</f>
        <v>160223</v>
      </c>
      <c r="B143" s="269" t="str">
        <f>'MODIFICAR CODIGOS '!B143</f>
        <v>FUZE TEA TE MANGO PET 400 (6)</v>
      </c>
      <c r="C143" s="283">
        <f>'MODIFICAR CODIGOS '!C143</f>
        <v>424</v>
      </c>
      <c r="D143" s="10">
        <f>'MODIFICAR CODIGOS '!D143</f>
        <v>53</v>
      </c>
      <c r="E143" s="10">
        <f>'MODIFICAR CODIGOS '!E143</f>
        <v>6</v>
      </c>
      <c r="F143" s="220"/>
      <c r="G143" s="147"/>
      <c r="H143" s="147"/>
      <c r="I143" s="147"/>
      <c r="J143" s="147"/>
      <c r="K143" s="219"/>
      <c r="L143" s="220"/>
      <c r="M143" s="147"/>
      <c r="N143" s="147"/>
      <c r="O143" s="219"/>
      <c r="P143" s="143"/>
      <c r="Q143" s="147">
        <v>18</v>
      </c>
      <c r="R143" s="141"/>
      <c r="S143" s="220">
        <v>5</v>
      </c>
      <c r="T143" s="219"/>
      <c r="U143" s="355">
        <f t="shared" si="15"/>
        <v>18.05</v>
      </c>
      <c r="V143" s="365">
        <f t="shared" si="16"/>
        <v>18</v>
      </c>
      <c r="W143" s="366">
        <f t="shared" si="17"/>
        <v>5</v>
      </c>
      <c r="X143" s="362">
        <f t="shared" si="13"/>
        <v>18.833333333333332</v>
      </c>
      <c r="Y143" s="294">
        <f t="shared" ca="1" si="14"/>
        <v>46104</v>
      </c>
      <c r="Z143" s="375"/>
      <c r="AA143" s="384"/>
      <c r="AB143" s="391">
        <f t="shared" ca="1" si="12"/>
        <v>-46104</v>
      </c>
    </row>
    <row r="144" spans="1:28" s="7" customFormat="1" ht="107.25" hidden="1" customHeight="1" x14ac:dyDescent="1.95">
      <c r="A144" s="10">
        <f>'MODIFICAR CODIGOS '!A144</f>
        <v>0</v>
      </c>
      <c r="B144" s="49">
        <f>'MODIFICAR CODIGOS '!B144</f>
        <v>0</v>
      </c>
      <c r="C144" s="283">
        <f>'MODIFICAR CODIGOS '!C144</f>
        <v>0</v>
      </c>
      <c r="D144" s="10">
        <f>'MODIFICAR CODIGOS '!D144</f>
        <v>0</v>
      </c>
      <c r="E144" s="10">
        <f>'MODIFICAR CODIGOS '!E144</f>
        <v>1</v>
      </c>
      <c r="F144" s="220"/>
      <c r="G144" s="147"/>
      <c r="H144" s="147"/>
      <c r="I144" s="147"/>
      <c r="J144" s="147"/>
      <c r="K144" s="219"/>
      <c r="L144" s="220"/>
      <c r="M144" s="147"/>
      <c r="N144" s="147"/>
      <c r="O144" s="219"/>
      <c r="P144" s="143"/>
      <c r="Q144" s="147"/>
      <c r="R144" s="141"/>
      <c r="S144" s="220"/>
      <c r="T144" s="219"/>
      <c r="U144" s="355">
        <f t="shared" si="15"/>
        <v>0</v>
      </c>
      <c r="V144" s="365">
        <f t="shared" si="16"/>
        <v>0</v>
      </c>
      <c r="W144" s="366">
        <f t="shared" si="17"/>
        <v>0</v>
      </c>
      <c r="X144" s="362">
        <f t="shared" si="13"/>
        <v>0</v>
      </c>
      <c r="Y144" s="294">
        <f t="shared" ca="1" si="14"/>
        <v>46104</v>
      </c>
      <c r="Z144" s="375"/>
      <c r="AA144" s="249"/>
      <c r="AB144" s="391">
        <f t="shared" ca="1" si="12"/>
        <v>-46104</v>
      </c>
    </row>
    <row r="145" spans="1:28" s="7" customFormat="1" ht="107.25" hidden="1" customHeight="1" x14ac:dyDescent="1.95">
      <c r="A145" s="10">
        <f>'MODIFICAR CODIGOS '!A145</f>
        <v>0</v>
      </c>
      <c r="B145" s="49">
        <f>'MODIFICAR CODIGOS '!B145</f>
        <v>0</v>
      </c>
      <c r="C145" s="283">
        <f>'MODIFICAR CODIGOS '!C145</f>
        <v>0</v>
      </c>
      <c r="D145" s="10">
        <f>'MODIFICAR CODIGOS '!D145</f>
        <v>0</v>
      </c>
      <c r="E145" s="10">
        <f>'MODIFICAR CODIGOS '!E145</f>
        <v>1</v>
      </c>
      <c r="F145" s="228"/>
      <c r="G145" s="209"/>
      <c r="H145" s="209"/>
      <c r="I145" s="209"/>
      <c r="J145" s="209"/>
      <c r="K145" s="229"/>
      <c r="L145" s="228"/>
      <c r="M145" s="209"/>
      <c r="N145" s="209"/>
      <c r="O145" s="229"/>
      <c r="P145" s="145"/>
      <c r="Q145" s="209"/>
      <c r="R145" s="144"/>
      <c r="S145" s="228"/>
      <c r="T145" s="229"/>
      <c r="U145" s="355">
        <f t="shared" si="15"/>
        <v>0</v>
      </c>
      <c r="V145" s="365">
        <f t="shared" si="16"/>
        <v>0</v>
      </c>
      <c r="W145" s="366">
        <f t="shared" si="17"/>
        <v>0</v>
      </c>
      <c r="X145" s="362">
        <f t="shared" si="13"/>
        <v>0</v>
      </c>
      <c r="Y145" s="294">
        <f t="shared" ca="1" si="14"/>
        <v>46104</v>
      </c>
      <c r="Z145" s="377"/>
      <c r="AA145" s="254"/>
      <c r="AB145" s="391">
        <f t="shared" ca="1" si="12"/>
        <v>-46104</v>
      </c>
    </row>
    <row r="146" spans="1:28" s="7" customFormat="1" ht="108" hidden="1" customHeight="1" x14ac:dyDescent="1.95">
      <c r="A146" s="10">
        <f>'MODIFICAR CODIGOS '!A146</f>
        <v>0</v>
      </c>
      <c r="B146" s="49">
        <f>'MODIFICAR CODIGOS '!B146</f>
        <v>0</v>
      </c>
      <c r="C146" s="283">
        <f>'MODIFICAR CODIGOS '!C146</f>
        <v>0</v>
      </c>
      <c r="D146" s="316">
        <f>'MODIFICAR CODIGOS '!D146</f>
        <v>0</v>
      </c>
      <c r="E146" s="10">
        <f>'MODIFICAR CODIGOS '!E146</f>
        <v>1</v>
      </c>
      <c r="F146" s="220"/>
      <c r="G146" s="147"/>
      <c r="H146" s="147"/>
      <c r="I146" s="147"/>
      <c r="J146" s="147"/>
      <c r="K146" s="219"/>
      <c r="L146" s="220"/>
      <c r="M146" s="147"/>
      <c r="N146" s="147"/>
      <c r="O146" s="219"/>
      <c r="P146" s="143"/>
      <c r="Q146" s="147"/>
      <c r="R146" s="141"/>
      <c r="S146" s="220"/>
      <c r="T146" s="219"/>
      <c r="U146" s="355">
        <f t="shared" si="15"/>
        <v>0</v>
      </c>
      <c r="V146" s="365">
        <f t="shared" si="16"/>
        <v>0</v>
      </c>
      <c r="W146" s="366">
        <f t="shared" si="17"/>
        <v>0</v>
      </c>
      <c r="X146" s="362">
        <f t="shared" si="13"/>
        <v>0</v>
      </c>
      <c r="Y146" s="294">
        <f t="shared" ca="1" si="14"/>
        <v>46104</v>
      </c>
      <c r="Z146" s="375"/>
      <c r="AA146" s="249"/>
      <c r="AB146" s="391">
        <f t="shared" ca="1" si="12"/>
        <v>-46104</v>
      </c>
    </row>
    <row r="147" spans="1:28" s="7" customFormat="1" ht="108" customHeight="1" x14ac:dyDescent="1.95">
      <c r="A147" s="10" t="s">
        <v>396</v>
      </c>
      <c r="B147" s="49"/>
      <c r="C147" s="236"/>
      <c r="D147" s="71"/>
      <c r="E147" s="315"/>
      <c r="F147" s="230"/>
      <c r="G147" s="142"/>
      <c r="H147" s="142"/>
      <c r="I147" s="142"/>
      <c r="J147" s="142"/>
      <c r="K147" s="231"/>
      <c r="L147" s="230"/>
      <c r="M147" s="142"/>
      <c r="N147" s="142"/>
      <c r="O147" s="231"/>
      <c r="P147" s="142"/>
      <c r="Q147" s="142"/>
      <c r="R147" s="142"/>
      <c r="S147" s="230"/>
      <c r="T147" s="142"/>
      <c r="U147" s="348"/>
      <c r="V147" s="365" t="e">
        <f t="shared" si="16"/>
        <v>#DIV/0!</v>
      </c>
      <c r="W147" s="366" t="e">
        <f t="shared" si="17"/>
        <v>#DIV/0!</v>
      </c>
      <c r="X147" s="394"/>
      <c r="Y147" s="395"/>
      <c r="Z147" s="375"/>
      <c r="AA147" s="255"/>
      <c r="AB147" s="391">
        <f t="shared" si="12"/>
        <v>0</v>
      </c>
    </row>
    <row r="148" spans="1:28" s="7" customFormat="1" ht="108" customHeight="1" x14ac:dyDescent="1.95">
      <c r="A148" s="10">
        <f>'MODIFICAR CODIGOS '!A148</f>
        <v>160080</v>
      </c>
      <c r="B148" s="269" t="str">
        <f>'MODIFICAR CODIGOS '!B148</f>
        <v xml:space="preserve">FUZE TEA TE N. LIMON 1,2 ML </v>
      </c>
      <c r="C148" s="283">
        <f>'MODIFICAR CODIGOS '!C148</f>
        <v>140</v>
      </c>
      <c r="D148" s="317">
        <f>'MODIFICAR CODIGOS '!D148</f>
        <v>28</v>
      </c>
      <c r="E148" s="10">
        <f>'MODIFICAR CODIGOS '!E148</f>
        <v>6</v>
      </c>
      <c r="F148" s="232"/>
      <c r="G148" s="146"/>
      <c r="H148" s="146"/>
      <c r="I148" s="146"/>
      <c r="J148" s="146"/>
      <c r="K148" s="233"/>
      <c r="L148" s="232"/>
      <c r="M148" s="146"/>
      <c r="N148" s="146"/>
      <c r="O148" s="233"/>
      <c r="P148" s="150"/>
      <c r="Q148" s="146">
        <v>3</v>
      </c>
      <c r="R148" s="148"/>
      <c r="S148" s="232">
        <v>4</v>
      </c>
      <c r="T148" s="233"/>
      <c r="U148" s="355">
        <f t="shared" si="15"/>
        <v>3.04</v>
      </c>
      <c r="V148" s="365">
        <f t="shared" si="16"/>
        <v>3</v>
      </c>
      <c r="W148" s="366">
        <f t="shared" si="17"/>
        <v>4</v>
      </c>
      <c r="X148" s="362">
        <f t="shared" si="13"/>
        <v>3.6666666666666665</v>
      </c>
      <c r="Y148" s="294">
        <f t="shared" ca="1" si="14"/>
        <v>46104</v>
      </c>
      <c r="Z148" s="378"/>
      <c r="AA148" s="387"/>
      <c r="AB148" s="391">
        <f t="shared" ca="1" si="12"/>
        <v>-46104</v>
      </c>
    </row>
    <row r="149" spans="1:28" s="7" customFormat="1" ht="108" customHeight="1" x14ac:dyDescent="1.95">
      <c r="A149" s="10">
        <f>'MODIFICAR CODIGOS '!A149</f>
        <v>160081</v>
      </c>
      <c r="B149" s="269" t="str">
        <f>'MODIFICAR CODIGOS '!B149</f>
        <v>FUZE TEA TE N. DURAZNO1.2ML</v>
      </c>
      <c r="C149" s="283">
        <f>'MODIFICAR CODIGOS '!C149</f>
        <v>140</v>
      </c>
      <c r="D149" s="10">
        <f>'MODIFICAR CODIGOS '!D149</f>
        <v>28</v>
      </c>
      <c r="E149" s="10">
        <f>'MODIFICAR CODIGOS '!E149</f>
        <v>6</v>
      </c>
      <c r="F149" s="228"/>
      <c r="G149" s="209"/>
      <c r="H149" s="209"/>
      <c r="I149" s="209"/>
      <c r="J149" s="209"/>
      <c r="K149" s="229"/>
      <c r="L149" s="228"/>
      <c r="M149" s="209"/>
      <c r="N149" s="209"/>
      <c r="O149" s="229"/>
      <c r="P149" s="145"/>
      <c r="Q149" s="209"/>
      <c r="R149" s="144"/>
      <c r="S149" s="228"/>
      <c r="T149" s="229"/>
      <c r="U149" s="355">
        <f t="shared" si="15"/>
        <v>0</v>
      </c>
      <c r="V149" s="365">
        <f t="shared" si="16"/>
        <v>0</v>
      </c>
      <c r="W149" s="366">
        <f t="shared" si="17"/>
        <v>0</v>
      </c>
      <c r="X149" s="362">
        <f t="shared" si="13"/>
        <v>0</v>
      </c>
      <c r="Y149" s="294">
        <f t="shared" ca="1" si="14"/>
        <v>46104</v>
      </c>
      <c r="Z149" s="377"/>
      <c r="AA149" s="388"/>
      <c r="AB149" s="391">
        <f t="shared" ca="1" si="12"/>
        <v>-46104</v>
      </c>
    </row>
    <row r="150" spans="1:28" s="7" customFormat="1" ht="107.4" x14ac:dyDescent="1.95">
      <c r="A150" s="10" t="s">
        <v>396</v>
      </c>
      <c r="B150" s="49"/>
      <c r="C150" s="283"/>
      <c r="D150" s="10"/>
      <c r="E150" s="10"/>
      <c r="F150" s="230"/>
      <c r="G150" s="142"/>
      <c r="H150" s="142"/>
      <c r="I150" s="142"/>
      <c r="J150" s="142"/>
      <c r="K150" s="231"/>
      <c r="L150" s="230"/>
      <c r="M150" s="142"/>
      <c r="N150" s="142"/>
      <c r="O150" s="231"/>
      <c r="P150" s="142"/>
      <c r="Q150" s="142"/>
      <c r="R150" s="142"/>
      <c r="S150" s="230"/>
      <c r="T150" s="142"/>
      <c r="U150" s="348"/>
      <c r="V150" s="365" t="e">
        <f t="shared" si="16"/>
        <v>#DIV/0!</v>
      </c>
      <c r="W150" s="366" t="e">
        <f t="shared" si="17"/>
        <v>#DIV/0!</v>
      </c>
      <c r="X150" s="394"/>
      <c r="Y150" s="395"/>
      <c r="Z150" s="375"/>
      <c r="AA150" s="255"/>
      <c r="AB150" s="391">
        <f t="shared" si="12"/>
        <v>0</v>
      </c>
    </row>
    <row r="151" spans="1:28" s="7" customFormat="1" ht="107.25" hidden="1" customHeight="1" x14ac:dyDescent="1.95">
      <c r="A151" s="10">
        <f>'MODIFICAR CODIGOS '!A151</f>
        <v>0</v>
      </c>
      <c r="B151" s="49">
        <f>'MODIFICAR CODIGOS '!B151</f>
        <v>0</v>
      </c>
      <c r="C151" s="283">
        <f>'MODIFICAR CODIGOS '!C151</f>
        <v>0</v>
      </c>
      <c r="D151" s="10">
        <f>'MODIFICAR CODIGOS '!D151</f>
        <v>0</v>
      </c>
      <c r="E151" s="10">
        <f>'MODIFICAR CODIGOS '!E151</f>
        <v>1</v>
      </c>
      <c r="F151" s="232"/>
      <c r="G151" s="146"/>
      <c r="H151" s="146"/>
      <c r="I151" s="146"/>
      <c r="J151" s="146"/>
      <c r="K151" s="233"/>
      <c r="L151" s="232"/>
      <c r="M151" s="146"/>
      <c r="N151" s="146"/>
      <c r="O151" s="233"/>
      <c r="P151" s="150"/>
      <c r="Q151" s="146"/>
      <c r="R151" s="148"/>
      <c r="S151" s="232"/>
      <c r="T151" s="233"/>
      <c r="U151" s="355">
        <f t="shared" si="15"/>
        <v>0</v>
      </c>
      <c r="V151" s="365">
        <f t="shared" si="16"/>
        <v>0</v>
      </c>
      <c r="W151" s="366">
        <f t="shared" si="17"/>
        <v>0</v>
      </c>
      <c r="X151" s="362">
        <f t="shared" si="13"/>
        <v>0</v>
      </c>
      <c r="Y151" s="294">
        <f t="shared" ca="1" si="14"/>
        <v>46104</v>
      </c>
      <c r="Z151" s="378"/>
      <c r="AA151" s="256"/>
      <c r="AB151" s="391">
        <f t="shared" ca="1" si="12"/>
        <v>-46104</v>
      </c>
    </row>
    <row r="152" spans="1:28" s="7" customFormat="1" ht="107.25" hidden="1" customHeight="1" x14ac:dyDescent="1.95">
      <c r="A152" s="10">
        <f>'MODIFICAR CODIGOS '!A152</f>
        <v>0</v>
      </c>
      <c r="B152" s="49">
        <f>'MODIFICAR CODIGOS '!B152</f>
        <v>0</v>
      </c>
      <c r="C152" s="283">
        <f>'MODIFICAR CODIGOS '!C152</f>
        <v>0</v>
      </c>
      <c r="D152" s="10">
        <f>'MODIFICAR CODIGOS '!D152</f>
        <v>0</v>
      </c>
      <c r="E152" s="10">
        <f>'MODIFICAR CODIGOS '!E152</f>
        <v>1</v>
      </c>
      <c r="F152" s="220"/>
      <c r="G152" s="147"/>
      <c r="H152" s="147"/>
      <c r="I152" s="147"/>
      <c r="J152" s="147"/>
      <c r="K152" s="219"/>
      <c r="L152" s="220"/>
      <c r="M152" s="147"/>
      <c r="N152" s="147"/>
      <c r="O152" s="219"/>
      <c r="P152" s="143"/>
      <c r="Q152" s="147"/>
      <c r="R152" s="141"/>
      <c r="S152" s="220"/>
      <c r="T152" s="219"/>
      <c r="U152" s="355">
        <f t="shared" si="15"/>
        <v>0</v>
      </c>
      <c r="V152" s="365">
        <f t="shared" si="16"/>
        <v>0</v>
      </c>
      <c r="W152" s="366">
        <f t="shared" si="17"/>
        <v>0</v>
      </c>
      <c r="X152" s="362">
        <f t="shared" si="13"/>
        <v>0</v>
      </c>
      <c r="Y152" s="294">
        <f t="shared" ca="1" si="14"/>
        <v>46104</v>
      </c>
      <c r="Z152" s="375"/>
      <c r="AA152" s="249"/>
      <c r="AB152" s="391">
        <f t="shared" ca="1" si="12"/>
        <v>-46104</v>
      </c>
    </row>
    <row r="153" spans="1:28" s="7" customFormat="1" ht="107.25" hidden="1" customHeight="1" x14ac:dyDescent="1.95">
      <c r="A153" s="10">
        <f>'MODIFICAR CODIGOS '!A153</f>
        <v>0</v>
      </c>
      <c r="B153" s="49">
        <f>'MODIFICAR CODIGOS '!B153</f>
        <v>0</v>
      </c>
      <c r="C153" s="283">
        <f>'MODIFICAR CODIGOS '!C153</f>
        <v>0</v>
      </c>
      <c r="D153" s="10">
        <f>'MODIFICAR CODIGOS '!D153</f>
        <v>0</v>
      </c>
      <c r="E153" s="10">
        <f>'MODIFICAR CODIGOS '!E153</f>
        <v>1</v>
      </c>
      <c r="F153" s="220"/>
      <c r="G153" s="147"/>
      <c r="H153" s="147"/>
      <c r="I153" s="147"/>
      <c r="J153" s="147"/>
      <c r="K153" s="219"/>
      <c r="L153" s="220"/>
      <c r="M153" s="147"/>
      <c r="N153" s="147"/>
      <c r="O153" s="219"/>
      <c r="P153" s="143"/>
      <c r="Q153" s="147"/>
      <c r="R153" s="141"/>
      <c r="S153" s="220"/>
      <c r="T153" s="219"/>
      <c r="U153" s="355">
        <f t="shared" si="15"/>
        <v>0</v>
      </c>
      <c r="V153" s="365">
        <f t="shared" si="16"/>
        <v>0</v>
      </c>
      <c r="W153" s="366">
        <f t="shared" si="17"/>
        <v>0</v>
      </c>
      <c r="X153" s="362">
        <f t="shared" si="13"/>
        <v>0</v>
      </c>
      <c r="Y153" s="294">
        <f t="shared" ca="1" si="14"/>
        <v>46104</v>
      </c>
      <c r="Z153" s="375"/>
      <c r="AA153" s="249"/>
      <c r="AB153" s="391">
        <f t="shared" ref="AB153:AB216" ca="1" si="18">AA153-Y153</f>
        <v>-46104</v>
      </c>
    </row>
    <row r="154" spans="1:28" s="7" customFormat="1" ht="107.25" hidden="1" customHeight="1" x14ac:dyDescent="1.95">
      <c r="A154" s="10">
        <f>'MODIFICAR CODIGOS '!A154</f>
        <v>0</v>
      </c>
      <c r="B154" s="49">
        <f>'MODIFICAR CODIGOS '!B154</f>
        <v>0</v>
      </c>
      <c r="C154" s="283">
        <f>'MODIFICAR CODIGOS '!C154</f>
        <v>0</v>
      </c>
      <c r="D154" s="10">
        <f>'MODIFICAR CODIGOS '!D154</f>
        <v>0</v>
      </c>
      <c r="E154" s="10">
        <f>'MODIFICAR CODIGOS '!E154</f>
        <v>1</v>
      </c>
      <c r="F154" s="220"/>
      <c r="G154" s="147"/>
      <c r="H154" s="147"/>
      <c r="I154" s="147"/>
      <c r="J154" s="147"/>
      <c r="K154" s="219"/>
      <c r="L154" s="220"/>
      <c r="M154" s="147"/>
      <c r="N154" s="147"/>
      <c r="O154" s="219"/>
      <c r="P154" s="143"/>
      <c r="Q154" s="147"/>
      <c r="R154" s="141"/>
      <c r="S154" s="220"/>
      <c r="T154" s="219"/>
      <c r="U154" s="355">
        <f t="shared" si="15"/>
        <v>0</v>
      </c>
      <c r="V154" s="365">
        <f t="shared" si="16"/>
        <v>0</v>
      </c>
      <c r="W154" s="366">
        <f t="shared" si="17"/>
        <v>0</v>
      </c>
      <c r="X154" s="362">
        <f t="shared" si="13"/>
        <v>0</v>
      </c>
      <c r="Y154" s="294">
        <f t="shared" ca="1" si="14"/>
        <v>46104</v>
      </c>
      <c r="Z154" s="375"/>
      <c r="AA154" s="249"/>
      <c r="AB154" s="391">
        <f t="shared" ca="1" si="18"/>
        <v>-46104</v>
      </c>
    </row>
    <row r="155" spans="1:28" s="7" customFormat="1" ht="107.4" hidden="1" x14ac:dyDescent="1.95">
      <c r="A155" s="10">
        <f>'MODIFICAR CODIGOS '!A155</f>
        <v>0</v>
      </c>
      <c r="B155" s="49">
        <f>'MODIFICAR CODIGOS '!B155</f>
        <v>0</v>
      </c>
      <c r="C155" s="283">
        <f>'MODIFICAR CODIGOS '!C155</f>
        <v>0</v>
      </c>
      <c r="D155" s="10">
        <f>'MODIFICAR CODIGOS '!D155</f>
        <v>0</v>
      </c>
      <c r="E155" s="10">
        <f>'MODIFICAR CODIGOS '!E155</f>
        <v>1</v>
      </c>
      <c r="F155" s="220"/>
      <c r="G155" s="147"/>
      <c r="H155" s="147"/>
      <c r="I155" s="147"/>
      <c r="J155" s="147"/>
      <c r="K155" s="219"/>
      <c r="L155" s="220"/>
      <c r="M155" s="147"/>
      <c r="N155" s="147"/>
      <c r="O155" s="219"/>
      <c r="P155" s="143"/>
      <c r="Q155" s="147"/>
      <c r="R155" s="141"/>
      <c r="S155" s="220"/>
      <c r="T155" s="219"/>
      <c r="U155" s="355">
        <f t="shared" si="15"/>
        <v>0</v>
      </c>
      <c r="V155" s="365">
        <f t="shared" si="16"/>
        <v>0</v>
      </c>
      <c r="W155" s="366">
        <f t="shared" si="17"/>
        <v>0</v>
      </c>
      <c r="X155" s="362">
        <f t="shared" si="13"/>
        <v>0</v>
      </c>
      <c r="Y155" s="294">
        <f t="shared" ca="1" si="14"/>
        <v>46104</v>
      </c>
      <c r="Z155" s="375"/>
      <c r="AA155" s="249"/>
      <c r="AB155" s="391">
        <f t="shared" ca="1" si="18"/>
        <v>-46104</v>
      </c>
    </row>
    <row r="156" spans="1:28" s="7" customFormat="1" ht="107.25" hidden="1" customHeight="1" x14ac:dyDescent="1.95">
      <c r="A156" s="10">
        <f>'MODIFICAR CODIGOS '!A156</f>
        <v>0</v>
      </c>
      <c r="B156" s="49">
        <f>'MODIFICAR CODIGOS '!B156</f>
        <v>0</v>
      </c>
      <c r="C156" s="283">
        <f>'MODIFICAR CODIGOS '!C156</f>
        <v>0</v>
      </c>
      <c r="D156" s="10">
        <f>'MODIFICAR CODIGOS '!D156</f>
        <v>0</v>
      </c>
      <c r="E156" s="10">
        <f>'MODIFICAR CODIGOS '!E156</f>
        <v>1</v>
      </c>
      <c r="F156" s="220"/>
      <c r="G156" s="147"/>
      <c r="H156" s="147"/>
      <c r="I156" s="147"/>
      <c r="J156" s="147"/>
      <c r="K156" s="219"/>
      <c r="L156" s="220"/>
      <c r="M156" s="147"/>
      <c r="N156" s="147"/>
      <c r="O156" s="219"/>
      <c r="P156" s="143"/>
      <c r="Q156" s="147"/>
      <c r="R156" s="141"/>
      <c r="S156" s="220"/>
      <c r="T156" s="219"/>
      <c r="U156" s="355">
        <f t="shared" si="15"/>
        <v>0</v>
      </c>
      <c r="V156" s="365">
        <f t="shared" si="16"/>
        <v>0</v>
      </c>
      <c r="W156" s="366">
        <f t="shared" si="17"/>
        <v>0</v>
      </c>
      <c r="X156" s="362">
        <f t="shared" si="13"/>
        <v>0</v>
      </c>
      <c r="Y156" s="294">
        <f t="shared" ca="1" si="14"/>
        <v>46104</v>
      </c>
      <c r="Z156" s="375"/>
      <c r="AA156" s="249"/>
      <c r="AB156" s="391">
        <f t="shared" ca="1" si="18"/>
        <v>-46104</v>
      </c>
    </row>
    <row r="157" spans="1:28" s="7" customFormat="1" ht="107.25" hidden="1" customHeight="1" x14ac:dyDescent="1.95">
      <c r="A157" s="10">
        <f>'MODIFICAR CODIGOS '!A157</f>
        <v>0</v>
      </c>
      <c r="B157" s="49">
        <f>'MODIFICAR CODIGOS '!B157</f>
        <v>0</v>
      </c>
      <c r="C157" s="283">
        <f>'MODIFICAR CODIGOS '!C157</f>
        <v>0</v>
      </c>
      <c r="D157" s="10">
        <f>'MODIFICAR CODIGOS '!D157</f>
        <v>0</v>
      </c>
      <c r="E157" s="10">
        <f>'MODIFICAR CODIGOS '!E157</f>
        <v>1</v>
      </c>
      <c r="F157" s="220"/>
      <c r="G157" s="147"/>
      <c r="H157" s="147"/>
      <c r="I157" s="147"/>
      <c r="J157" s="147"/>
      <c r="K157" s="219"/>
      <c r="L157" s="220"/>
      <c r="M157" s="147"/>
      <c r="N157" s="147"/>
      <c r="O157" s="219"/>
      <c r="P157" s="143"/>
      <c r="Q157" s="147"/>
      <c r="R157" s="141"/>
      <c r="S157" s="220"/>
      <c r="T157" s="219"/>
      <c r="U157" s="355">
        <f t="shared" si="15"/>
        <v>0</v>
      </c>
      <c r="V157" s="365">
        <f t="shared" si="16"/>
        <v>0</v>
      </c>
      <c r="W157" s="366">
        <f t="shared" si="17"/>
        <v>0</v>
      </c>
      <c r="X157" s="362">
        <f t="shared" si="13"/>
        <v>0</v>
      </c>
      <c r="Y157" s="294">
        <f t="shared" ca="1" si="14"/>
        <v>46104</v>
      </c>
      <c r="Z157" s="375"/>
      <c r="AA157" s="249"/>
      <c r="AB157" s="391">
        <f t="shared" ca="1" si="18"/>
        <v>-46104</v>
      </c>
    </row>
    <row r="158" spans="1:28" s="7" customFormat="1" ht="107.25" hidden="1" customHeight="1" x14ac:dyDescent="1.95">
      <c r="A158" s="10">
        <f>'MODIFICAR CODIGOS '!A158</f>
        <v>0</v>
      </c>
      <c r="B158" s="49">
        <f>'MODIFICAR CODIGOS '!B158</f>
        <v>0</v>
      </c>
      <c r="C158" s="283">
        <f>'MODIFICAR CODIGOS '!C158</f>
        <v>0</v>
      </c>
      <c r="D158" s="10">
        <f>'MODIFICAR CODIGOS '!D158</f>
        <v>0</v>
      </c>
      <c r="E158" s="10">
        <f>'MODIFICAR CODIGOS '!E158</f>
        <v>1</v>
      </c>
      <c r="F158" s="220"/>
      <c r="G158" s="147"/>
      <c r="H158" s="147"/>
      <c r="I158" s="147"/>
      <c r="J158" s="147"/>
      <c r="K158" s="219"/>
      <c r="L158" s="220"/>
      <c r="M158" s="147"/>
      <c r="N158" s="147"/>
      <c r="O158" s="219"/>
      <c r="P158" s="143"/>
      <c r="Q158" s="147"/>
      <c r="R158" s="141"/>
      <c r="S158" s="220"/>
      <c r="T158" s="219"/>
      <c r="U158" s="355">
        <f t="shared" si="15"/>
        <v>0</v>
      </c>
      <c r="V158" s="365">
        <f t="shared" si="16"/>
        <v>0</v>
      </c>
      <c r="W158" s="366">
        <f t="shared" si="17"/>
        <v>0</v>
      </c>
      <c r="X158" s="362">
        <f t="shared" si="13"/>
        <v>0</v>
      </c>
      <c r="Y158" s="294">
        <f t="shared" ca="1" si="14"/>
        <v>46104</v>
      </c>
      <c r="Z158" s="375"/>
      <c r="AA158" s="249"/>
      <c r="AB158" s="391">
        <f t="shared" ca="1" si="18"/>
        <v>-46104</v>
      </c>
    </row>
    <row r="159" spans="1:28" s="7" customFormat="1" ht="107.25" customHeight="1" x14ac:dyDescent="1.95">
      <c r="A159" s="10">
        <f>'MODIFICAR CODIGOS '!A159</f>
        <v>120184</v>
      </c>
      <c r="B159" s="49" t="str">
        <f>'MODIFICAR CODIGOS '!B159</f>
        <v>FRESH PONCHE FRUTAS 400 PET (12)</v>
      </c>
      <c r="C159" s="283">
        <f>'MODIFICAR CODIGOS '!C159</f>
        <v>240</v>
      </c>
      <c r="D159" s="10">
        <f>'MODIFICAR CODIGOS '!D159</f>
        <v>30</v>
      </c>
      <c r="E159" s="10">
        <f>'MODIFICAR CODIGOS '!E159</f>
        <v>12</v>
      </c>
      <c r="F159" s="220"/>
      <c r="G159" s="147"/>
      <c r="H159" s="147"/>
      <c r="I159" s="147"/>
      <c r="J159" s="147"/>
      <c r="K159" s="219"/>
      <c r="L159" s="220"/>
      <c r="M159" s="147"/>
      <c r="N159" s="147"/>
      <c r="O159" s="219"/>
      <c r="P159" s="143"/>
      <c r="Q159" s="147"/>
      <c r="R159" s="141"/>
      <c r="S159" s="220"/>
      <c r="T159" s="219"/>
      <c r="U159" s="355">
        <f t="shared" si="15"/>
        <v>0</v>
      </c>
      <c r="V159" s="365">
        <f t="shared" si="16"/>
        <v>0</v>
      </c>
      <c r="W159" s="366">
        <f t="shared" si="17"/>
        <v>0</v>
      </c>
      <c r="X159" s="362">
        <f t="shared" si="13"/>
        <v>0</v>
      </c>
      <c r="Y159" s="294">
        <f t="shared" ca="1" si="14"/>
        <v>46104</v>
      </c>
      <c r="Z159" s="375"/>
      <c r="AA159" s="249"/>
      <c r="AB159" s="391">
        <f t="shared" ca="1" si="18"/>
        <v>-46104</v>
      </c>
    </row>
    <row r="160" spans="1:28" s="7" customFormat="1" ht="108" customHeight="1" x14ac:dyDescent="1.95">
      <c r="A160" s="10">
        <f>'MODIFICAR CODIGOS '!A160</f>
        <v>120158</v>
      </c>
      <c r="B160" s="269" t="str">
        <f>'MODIFICAR CODIGOS '!B160</f>
        <v>DEL VALLE MANDARINA 400 ml pet (12)</v>
      </c>
      <c r="C160" s="283">
        <f>'MODIFICAR CODIGOS '!C160</f>
        <v>240</v>
      </c>
      <c r="D160" s="10">
        <f>'MODIFICAR CODIGOS '!D160</f>
        <v>30</v>
      </c>
      <c r="E160" s="10">
        <f>'MODIFICAR CODIGOS '!E160</f>
        <v>12</v>
      </c>
      <c r="F160" s="220"/>
      <c r="G160" s="147"/>
      <c r="H160" s="147"/>
      <c r="I160" s="147"/>
      <c r="J160" s="147"/>
      <c r="K160" s="219"/>
      <c r="L160" s="220"/>
      <c r="M160" s="147"/>
      <c r="N160" s="147"/>
      <c r="O160" s="219"/>
      <c r="P160" s="143"/>
      <c r="Q160" s="147">
        <v>5</v>
      </c>
      <c r="R160" s="141"/>
      <c r="S160" s="220">
        <v>7</v>
      </c>
      <c r="T160" s="219"/>
      <c r="U160" s="355">
        <f t="shared" si="15"/>
        <v>5.07</v>
      </c>
      <c r="V160" s="365">
        <f t="shared" si="16"/>
        <v>5</v>
      </c>
      <c r="W160" s="366">
        <f t="shared" si="17"/>
        <v>7</v>
      </c>
      <c r="X160" s="362">
        <f t="shared" si="13"/>
        <v>5.583333333333333</v>
      </c>
      <c r="Y160" s="294">
        <f t="shared" ca="1" si="14"/>
        <v>46104</v>
      </c>
      <c r="Z160" s="375"/>
      <c r="AA160" s="384"/>
      <c r="AB160" s="391">
        <f t="shared" ca="1" si="18"/>
        <v>-46104</v>
      </c>
    </row>
    <row r="161" spans="1:28" s="7" customFormat="1" ht="108" customHeight="1" x14ac:dyDescent="1.95">
      <c r="A161" s="10">
        <f>'MODIFICAR CODIGOS '!A161</f>
        <v>120117</v>
      </c>
      <c r="B161" s="269" t="str">
        <f>'MODIFICAR CODIGOS '!B161</f>
        <v>DEL VALLE CITRUS 400 ml pet (12)</v>
      </c>
      <c r="C161" s="283">
        <f>'MODIFICAR CODIGOS '!C161</f>
        <v>240</v>
      </c>
      <c r="D161" s="316">
        <f>'MODIFICAR CODIGOS '!D161</f>
        <v>30</v>
      </c>
      <c r="E161" s="10">
        <f>'MODIFICAR CODIGOS '!E161</f>
        <v>12</v>
      </c>
      <c r="F161" s="220"/>
      <c r="G161" s="147"/>
      <c r="H161" s="147"/>
      <c r="I161" s="147">
        <v>1</v>
      </c>
      <c r="J161" s="147"/>
      <c r="K161" s="219"/>
      <c r="L161" s="220"/>
      <c r="M161" s="147"/>
      <c r="N161" s="147"/>
      <c r="O161" s="219"/>
      <c r="P161" s="143"/>
      <c r="Q161" s="147">
        <v>218</v>
      </c>
      <c r="R161" s="141"/>
      <c r="S161" s="220">
        <v>8</v>
      </c>
      <c r="T161" s="219"/>
      <c r="U161" s="355">
        <f t="shared" si="15"/>
        <v>458.08</v>
      </c>
      <c r="V161" s="365">
        <f t="shared" si="16"/>
        <v>458</v>
      </c>
      <c r="W161" s="366">
        <f t="shared" si="17"/>
        <v>8</v>
      </c>
      <c r="X161" s="362">
        <f t="shared" si="13"/>
        <v>458.66666666666669</v>
      </c>
      <c r="Y161" s="294">
        <f t="shared" ca="1" si="14"/>
        <v>46104</v>
      </c>
      <c r="Z161" s="375"/>
      <c r="AA161" s="384"/>
      <c r="AB161" s="391">
        <f t="shared" ca="1" si="18"/>
        <v>-46104</v>
      </c>
    </row>
    <row r="162" spans="1:28" s="7" customFormat="1" ht="107.4" x14ac:dyDescent="1.95">
      <c r="A162" s="10" t="s">
        <v>396</v>
      </c>
      <c r="B162" s="49"/>
      <c r="C162" s="236"/>
      <c r="D162" s="71"/>
      <c r="E162" s="315"/>
      <c r="F162" s="236"/>
      <c r="G162" s="71"/>
      <c r="H162" s="71"/>
      <c r="I162" s="71"/>
      <c r="J162" s="71"/>
      <c r="K162" s="237"/>
      <c r="L162" s="236"/>
      <c r="M162" s="71"/>
      <c r="N162" s="71"/>
      <c r="O162" s="237"/>
      <c r="P162" s="71"/>
      <c r="Q162" s="71"/>
      <c r="R162" s="71"/>
      <c r="S162" s="236"/>
      <c r="T162" s="71"/>
      <c r="U162" s="348"/>
      <c r="V162" s="365" t="e">
        <f t="shared" si="16"/>
        <v>#DIV/0!</v>
      </c>
      <c r="W162" s="366" t="e">
        <f t="shared" si="17"/>
        <v>#DIV/0!</v>
      </c>
      <c r="X162" s="394"/>
      <c r="Y162" s="395"/>
      <c r="Z162" s="380"/>
      <c r="AA162" s="258"/>
      <c r="AB162" s="391">
        <f t="shared" si="18"/>
        <v>0</v>
      </c>
    </row>
    <row r="163" spans="1:28" s="7" customFormat="1" ht="107.25" hidden="1" customHeight="1" x14ac:dyDescent="1.95">
      <c r="A163" s="10">
        <f>'MODIFICAR CODIGOS '!A163</f>
        <v>0</v>
      </c>
      <c r="B163" s="49">
        <f>'MODIFICAR CODIGOS '!B163</f>
        <v>0</v>
      </c>
      <c r="C163" s="283">
        <f>'MODIFICAR CODIGOS '!C163</f>
        <v>0</v>
      </c>
      <c r="D163" s="317">
        <f>'MODIFICAR CODIGOS '!D163</f>
        <v>0</v>
      </c>
      <c r="E163" s="10">
        <f>'MODIFICAR CODIGOS '!E163</f>
        <v>1</v>
      </c>
      <c r="F163" s="220"/>
      <c r="G163" s="147"/>
      <c r="H163" s="147"/>
      <c r="I163" s="147"/>
      <c r="J163" s="147"/>
      <c r="K163" s="219"/>
      <c r="L163" s="220"/>
      <c r="M163" s="147"/>
      <c r="N163" s="147"/>
      <c r="O163" s="219"/>
      <c r="P163" s="143"/>
      <c r="Q163" s="147"/>
      <c r="R163" s="141"/>
      <c r="S163" s="220"/>
      <c r="T163" s="219"/>
      <c r="U163" s="355">
        <f t="shared" si="15"/>
        <v>0</v>
      </c>
      <c r="V163" s="365">
        <f t="shared" si="16"/>
        <v>0</v>
      </c>
      <c r="W163" s="366">
        <f t="shared" si="17"/>
        <v>0</v>
      </c>
      <c r="X163" s="362">
        <f t="shared" si="13"/>
        <v>0</v>
      </c>
      <c r="Y163" s="294">
        <f t="shared" ca="1" si="14"/>
        <v>46104</v>
      </c>
      <c r="Z163" s="375"/>
      <c r="AA163" s="249"/>
      <c r="AB163" s="391">
        <f t="shared" ca="1" si="18"/>
        <v>-46104</v>
      </c>
    </row>
    <row r="164" spans="1:28" s="7" customFormat="1" ht="107.25" hidden="1" customHeight="1" x14ac:dyDescent="1.95">
      <c r="A164" s="10">
        <f>'MODIFICAR CODIGOS '!A164</f>
        <v>0</v>
      </c>
      <c r="B164" s="49">
        <f>'MODIFICAR CODIGOS '!B164</f>
        <v>0</v>
      </c>
      <c r="C164" s="283">
        <f>'MODIFICAR CODIGOS '!C164</f>
        <v>0</v>
      </c>
      <c r="D164" s="10">
        <f>'MODIFICAR CODIGOS '!D164</f>
        <v>0</v>
      </c>
      <c r="E164" s="10">
        <f>'MODIFICAR CODIGOS '!E164</f>
        <v>1</v>
      </c>
      <c r="F164" s="220"/>
      <c r="G164" s="147"/>
      <c r="H164" s="147"/>
      <c r="I164" s="147"/>
      <c r="J164" s="147"/>
      <c r="K164" s="219"/>
      <c r="L164" s="220"/>
      <c r="M164" s="147"/>
      <c r="N164" s="147"/>
      <c r="O164" s="219"/>
      <c r="P164" s="143"/>
      <c r="Q164" s="147"/>
      <c r="R164" s="141"/>
      <c r="S164" s="220"/>
      <c r="T164" s="219"/>
      <c r="U164" s="355">
        <f t="shared" si="15"/>
        <v>0</v>
      </c>
      <c r="V164" s="365">
        <f t="shared" si="16"/>
        <v>0</v>
      </c>
      <c r="W164" s="366">
        <f t="shared" si="17"/>
        <v>0</v>
      </c>
      <c r="X164" s="362">
        <f t="shared" si="13"/>
        <v>0</v>
      </c>
      <c r="Y164" s="294">
        <f t="shared" ca="1" si="14"/>
        <v>46104</v>
      </c>
      <c r="Z164" s="375"/>
      <c r="AA164" s="249"/>
      <c r="AB164" s="391">
        <f t="shared" ca="1" si="18"/>
        <v>-46104</v>
      </c>
    </row>
    <row r="165" spans="1:28" s="7" customFormat="1" ht="107.4" hidden="1" x14ac:dyDescent="1.95">
      <c r="A165" s="10">
        <f>'MODIFICAR CODIGOS '!A165</f>
        <v>0</v>
      </c>
      <c r="B165" s="49">
        <f>'MODIFICAR CODIGOS '!B165</f>
        <v>0</v>
      </c>
      <c r="C165" s="283">
        <f>'MODIFICAR CODIGOS '!C165</f>
        <v>0</v>
      </c>
      <c r="D165" s="10">
        <f>'MODIFICAR CODIGOS '!D165</f>
        <v>0</v>
      </c>
      <c r="E165" s="10">
        <f>'MODIFICAR CODIGOS '!E165</f>
        <v>1</v>
      </c>
      <c r="F165" s="220"/>
      <c r="G165" s="147"/>
      <c r="H165" s="147"/>
      <c r="I165" s="147"/>
      <c r="J165" s="147"/>
      <c r="K165" s="219"/>
      <c r="L165" s="220"/>
      <c r="M165" s="147"/>
      <c r="N165" s="147"/>
      <c r="O165" s="219"/>
      <c r="P165" s="143"/>
      <c r="Q165" s="147"/>
      <c r="R165" s="141"/>
      <c r="S165" s="220"/>
      <c r="T165" s="219"/>
      <c r="U165" s="355">
        <f t="shared" si="15"/>
        <v>0</v>
      </c>
      <c r="V165" s="365">
        <f t="shared" si="16"/>
        <v>0</v>
      </c>
      <c r="W165" s="366">
        <f t="shared" si="17"/>
        <v>0</v>
      </c>
      <c r="X165" s="362">
        <f t="shared" si="13"/>
        <v>0</v>
      </c>
      <c r="Y165" s="294">
        <f t="shared" ca="1" si="14"/>
        <v>46104</v>
      </c>
      <c r="Z165" s="375"/>
      <c r="AA165" s="249"/>
      <c r="AB165" s="391">
        <f t="shared" ca="1" si="18"/>
        <v>-46104</v>
      </c>
    </row>
    <row r="166" spans="1:28" s="7" customFormat="1" ht="107.25" hidden="1" customHeight="1" x14ac:dyDescent="1.95">
      <c r="A166" s="10">
        <f>'MODIFICAR CODIGOS '!A166</f>
        <v>0</v>
      </c>
      <c r="B166" s="49">
        <f>'MODIFICAR CODIGOS '!B166</f>
        <v>0</v>
      </c>
      <c r="C166" s="283">
        <f>'MODIFICAR CODIGOS '!C166</f>
        <v>0</v>
      </c>
      <c r="D166" s="10">
        <f>'MODIFICAR CODIGOS '!D166</f>
        <v>0</v>
      </c>
      <c r="E166" s="10">
        <f>'MODIFICAR CODIGOS '!E166</f>
        <v>1</v>
      </c>
      <c r="F166" s="220"/>
      <c r="G166" s="147"/>
      <c r="H166" s="147"/>
      <c r="I166" s="147"/>
      <c r="J166" s="147"/>
      <c r="K166" s="219"/>
      <c r="L166" s="220"/>
      <c r="M166" s="147"/>
      <c r="N166" s="147"/>
      <c r="O166" s="219"/>
      <c r="P166" s="143"/>
      <c r="Q166" s="147"/>
      <c r="R166" s="141"/>
      <c r="S166" s="220"/>
      <c r="T166" s="219"/>
      <c r="U166" s="355">
        <f t="shared" si="15"/>
        <v>0</v>
      </c>
      <c r="V166" s="365">
        <f t="shared" si="16"/>
        <v>0</v>
      </c>
      <c r="W166" s="366">
        <f t="shared" si="17"/>
        <v>0</v>
      </c>
      <c r="X166" s="362">
        <f t="shared" si="13"/>
        <v>0</v>
      </c>
      <c r="Y166" s="294">
        <f t="shared" ca="1" si="14"/>
        <v>46104</v>
      </c>
      <c r="Z166" s="375"/>
      <c r="AA166" s="249"/>
      <c r="AB166" s="391">
        <f t="shared" ca="1" si="18"/>
        <v>-46104</v>
      </c>
    </row>
    <row r="167" spans="1:28" s="7" customFormat="1" ht="107.25" hidden="1" customHeight="1" x14ac:dyDescent="1.95">
      <c r="A167" s="10">
        <f>'MODIFICAR CODIGOS '!A167</f>
        <v>0</v>
      </c>
      <c r="B167" s="49">
        <f>'MODIFICAR CODIGOS '!B167</f>
        <v>0</v>
      </c>
      <c r="C167" s="283">
        <f>'MODIFICAR CODIGOS '!C167</f>
        <v>0</v>
      </c>
      <c r="D167" s="10">
        <f>'MODIFICAR CODIGOS '!D167</f>
        <v>0</v>
      </c>
      <c r="E167" s="10">
        <f>'MODIFICAR CODIGOS '!E167</f>
        <v>1</v>
      </c>
      <c r="F167" s="220"/>
      <c r="G167" s="147"/>
      <c r="H167" s="147"/>
      <c r="I167" s="147"/>
      <c r="J167" s="147"/>
      <c r="K167" s="219"/>
      <c r="L167" s="220"/>
      <c r="M167" s="147"/>
      <c r="N167" s="147"/>
      <c r="O167" s="219"/>
      <c r="P167" s="143"/>
      <c r="Q167" s="147"/>
      <c r="R167" s="141"/>
      <c r="S167" s="220"/>
      <c r="T167" s="219"/>
      <c r="U167" s="355">
        <f t="shared" si="15"/>
        <v>0</v>
      </c>
      <c r="V167" s="365">
        <f t="shared" si="16"/>
        <v>0</v>
      </c>
      <c r="W167" s="366">
        <f t="shared" si="17"/>
        <v>0</v>
      </c>
      <c r="X167" s="362">
        <f t="shared" si="13"/>
        <v>0</v>
      </c>
      <c r="Y167" s="294">
        <f t="shared" ca="1" si="14"/>
        <v>46104</v>
      </c>
      <c r="Z167" s="375"/>
      <c r="AA167" s="249"/>
      <c r="AB167" s="391">
        <f t="shared" ca="1" si="18"/>
        <v>-46104</v>
      </c>
    </row>
    <row r="168" spans="1:28" s="7" customFormat="1" ht="107.25" hidden="1" customHeight="1" x14ac:dyDescent="1.95">
      <c r="A168" s="10">
        <f>'MODIFICAR CODIGOS '!A168</f>
        <v>0</v>
      </c>
      <c r="B168" s="49">
        <f>'MODIFICAR CODIGOS '!B168</f>
        <v>0</v>
      </c>
      <c r="C168" s="283">
        <f>'MODIFICAR CODIGOS '!C168</f>
        <v>0</v>
      </c>
      <c r="D168" s="316">
        <f>'MODIFICAR CODIGOS '!D168</f>
        <v>0</v>
      </c>
      <c r="E168" s="10">
        <f>'MODIFICAR CODIGOS '!E168</f>
        <v>1</v>
      </c>
      <c r="F168" s="228"/>
      <c r="G168" s="209"/>
      <c r="H168" s="209"/>
      <c r="I168" s="209"/>
      <c r="J168" s="209"/>
      <c r="K168" s="229"/>
      <c r="L168" s="228"/>
      <c r="M168" s="209"/>
      <c r="N168" s="209"/>
      <c r="O168" s="229"/>
      <c r="P168" s="145"/>
      <c r="Q168" s="209"/>
      <c r="R168" s="144"/>
      <c r="S168" s="228"/>
      <c r="T168" s="229"/>
      <c r="U168" s="355">
        <f t="shared" si="15"/>
        <v>0</v>
      </c>
      <c r="V168" s="365">
        <f t="shared" si="16"/>
        <v>0</v>
      </c>
      <c r="W168" s="366">
        <f t="shared" si="17"/>
        <v>0</v>
      </c>
      <c r="X168" s="362">
        <f t="shared" si="13"/>
        <v>0</v>
      </c>
      <c r="Y168" s="294">
        <f t="shared" ca="1" si="14"/>
        <v>46104</v>
      </c>
      <c r="Z168" s="377"/>
      <c r="AA168" s="254"/>
      <c r="AB168" s="391">
        <f t="shared" ca="1" si="18"/>
        <v>-46104</v>
      </c>
    </row>
    <row r="169" spans="1:28" s="7" customFormat="1" ht="107.4" x14ac:dyDescent="1.95">
      <c r="A169" s="10" t="s">
        <v>396</v>
      </c>
      <c r="B169" s="49"/>
      <c r="C169" s="236"/>
      <c r="D169" s="71"/>
      <c r="E169" s="315"/>
      <c r="F169" s="230"/>
      <c r="G169" s="142"/>
      <c r="H169" s="142"/>
      <c r="I169" s="142"/>
      <c r="J169" s="142"/>
      <c r="K169" s="231"/>
      <c r="L169" s="230"/>
      <c r="M169" s="142"/>
      <c r="N169" s="142"/>
      <c r="O169" s="231"/>
      <c r="P169" s="142"/>
      <c r="Q169" s="142"/>
      <c r="R169" s="142"/>
      <c r="S169" s="230"/>
      <c r="T169" s="142"/>
      <c r="U169" s="348"/>
      <c r="V169" s="365" t="e">
        <f t="shared" si="16"/>
        <v>#DIV/0!</v>
      </c>
      <c r="W169" s="366" t="e">
        <f t="shared" si="17"/>
        <v>#DIV/0!</v>
      </c>
      <c r="X169" s="394"/>
      <c r="Y169" s="395"/>
      <c r="Z169" s="375"/>
      <c r="AA169" s="255"/>
      <c r="AB169" s="391">
        <f t="shared" si="18"/>
        <v>0</v>
      </c>
    </row>
    <row r="170" spans="1:28" s="7" customFormat="1" ht="107.25" customHeight="1" x14ac:dyDescent="1.95">
      <c r="A170" s="10">
        <f>'MODIFICAR CODIGOS '!A170</f>
        <v>120185</v>
      </c>
      <c r="B170" s="49" t="str">
        <f>'MODIFICAR CODIGOS '!B170</f>
        <v>FRESH PONCHE FRUTAS 1.5 PET(12)</v>
      </c>
      <c r="C170" s="283">
        <f>'MODIFICAR CODIGOS '!C170</f>
        <v>65</v>
      </c>
      <c r="D170" s="317">
        <f>'MODIFICAR CODIGOS '!D170</f>
        <v>13</v>
      </c>
      <c r="E170" s="10">
        <f>'MODIFICAR CODIGOS '!E170</f>
        <v>12</v>
      </c>
      <c r="F170" s="232"/>
      <c r="G170" s="146"/>
      <c r="H170" s="146"/>
      <c r="I170" s="146">
        <v>1</v>
      </c>
      <c r="J170" s="146"/>
      <c r="K170" s="233"/>
      <c r="L170" s="232"/>
      <c r="M170" s="146"/>
      <c r="N170" s="146"/>
      <c r="O170" s="233"/>
      <c r="P170" s="150"/>
      <c r="Q170" s="146">
        <v>10</v>
      </c>
      <c r="R170" s="148"/>
      <c r="S170" s="232">
        <v>4</v>
      </c>
      <c r="T170" s="233"/>
      <c r="U170" s="355">
        <f t="shared" si="15"/>
        <v>75.040000000000006</v>
      </c>
      <c r="V170" s="365">
        <f t="shared" si="16"/>
        <v>75</v>
      </c>
      <c r="W170" s="366">
        <f t="shared" si="17"/>
        <v>4</v>
      </c>
      <c r="X170" s="362">
        <f t="shared" si="13"/>
        <v>75.333333333333329</v>
      </c>
      <c r="Y170" s="294">
        <f t="shared" ca="1" si="14"/>
        <v>46104</v>
      </c>
      <c r="Z170" s="378"/>
      <c r="AA170" s="256"/>
      <c r="AB170" s="391">
        <f t="shared" ca="1" si="18"/>
        <v>-46104</v>
      </c>
    </row>
    <row r="171" spans="1:28" s="7" customFormat="1" ht="107.4" x14ac:dyDescent="1.95">
      <c r="A171" s="10">
        <f>'MODIFICAR CODIGOS '!A171</f>
        <v>120159</v>
      </c>
      <c r="B171" s="269" t="str">
        <f>'MODIFICAR CODIGOS '!B171</f>
        <v xml:space="preserve">Fresh Mandarina 1,5ml </v>
      </c>
      <c r="C171" s="283">
        <f>'MODIFICAR CODIGOS '!C171</f>
        <v>65</v>
      </c>
      <c r="D171" s="10">
        <f>'MODIFICAR CODIGOS '!D171</f>
        <v>13</v>
      </c>
      <c r="E171" s="10">
        <f>'MODIFICAR CODIGOS '!E171</f>
        <v>12</v>
      </c>
      <c r="F171" s="220"/>
      <c r="G171" s="147"/>
      <c r="H171" s="147"/>
      <c r="I171" s="147"/>
      <c r="J171" s="147"/>
      <c r="K171" s="219"/>
      <c r="L171" s="220"/>
      <c r="M171" s="147"/>
      <c r="N171" s="147"/>
      <c r="O171" s="219"/>
      <c r="P171" s="143"/>
      <c r="Q171" s="147"/>
      <c r="R171" s="141"/>
      <c r="S171" s="220"/>
      <c r="T171" s="219"/>
      <c r="U171" s="355">
        <f t="shared" si="15"/>
        <v>0</v>
      </c>
      <c r="V171" s="365">
        <f t="shared" si="16"/>
        <v>0</v>
      </c>
      <c r="W171" s="366">
        <f t="shared" si="17"/>
        <v>0</v>
      </c>
      <c r="X171" s="362">
        <f t="shared" si="13"/>
        <v>0</v>
      </c>
      <c r="Y171" s="294">
        <f t="shared" ca="1" si="14"/>
        <v>46104</v>
      </c>
      <c r="Z171" s="375"/>
      <c r="AA171" s="384"/>
      <c r="AB171" s="391">
        <f t="shared" ca="1" si="18"/>
        <v>-46104</v>
      </c>
    </row>
    <row r="172" spans="1:28" s="7" customFormat="1" ht="107.25" hidden="1" customHeight="1" x14ac:dyDescent="1.95">
      <c r="A172" s="10">
        <f>'MODIFICAR CODIGOS '!A172</f>
        <v>0</v>
      </c>
      <c r="B172" s="49">
        <f>'MODIFICAR CODIGOS '!B172</f>
        <v>0</v>
      </c>
      <c r="C172" s="283">
        <f>'MODIFICAR CODIGOS '!C172</f>
        <v>0</v>
      </c>
      <c r="D172" s="10">
        <f>'MODIFICAR CODIGOS '!D172</f>
        <v>0</v>
      </c>
      <c r="E172" s="10">
        <f>'MODIFICAR CODIGOS '!E172</f>
        <v>1</v>
      </c>
      <c r="F172" s="228"/>
      <c r="G172" s="209"/>
      <c r="H172" s="209"/>
      <c r="I172" s="209"/>
      <c r="J172" s="209"/>
      <c r="K172" s="229"/>
      <c r="L172" s="228"/>
      <c r="M172" s="209"/>
      <c r="N172" s="209"/>
      <c r="O172" s="229"/>
      <c r="P172" s="145"/>
      <c r="Q172" s="209"/>
      <c r="R172" s="144"/>
      <c r="S172" s="228"/>
      <c r="T172" s="229"/>
      <c r="U172" s="355">
        <f t="shared" si="15"/>
        <v>0</v>
      </c>
      <c r="V172" s="365">
        <f t="shared" si="16"/>
        <v>0</v>
      </c>
      <c r="W172" s="366">
        <f t="shared" si="17"/>
        <v>0</v>
      </c>
      <c r="X172" s="362">
        <f t="shared" si="13"/>
        <v>0</v>
      </c>
      <c r="Y172" s="294">
        <f t="shared" ca="1" si="14"/>
        <v>46104</v>
      </c>
      <c r="Z172" s="377"/>
      <c r="AA172" s="254"/>
      <c r="AB172" s="391">
        <f t="shared" ca="1" si="18"/>
        <v>-46104</v>
      </c>
    </row>
    <row r="173" spans="1:28" s="7" customFormat="1" ht="107.25" hidden="1" customHeight="1" x14ac:dyDescent="1.95">
      <c r="A173" s="10">
        <f>'MODIFICAR CODIGOS '!A173</f>
        <v>0</v>
      </c>
      <c r="B173" s="49">
        <f>'MODIFICAR CODIGOS '!B173</f>
        <v>0</v>
      </c>
      <c r="C173" s="283">
        <f>'MODIFICAR CODIGOS '!C173</f>
        <v>0</v>
      </c>
      <c r="D173" s="10">
        <f>'MODIFICAR CODIGOS '!D173</f>
        <v>0</v>
      </c>
      <c r="E173" s="10">
        <f>'MODIFICAR CODIGOS '!E173</f>
        <v>1</v>
      </c>
      <c r="F173" s="220"/>
      <c r="G173" s="147"/>
      <c r="H173" s="147"/>
      <c r="I173" s="147"/>
      <c r="J173" s="147"/>
      <c r="K173" s="219"/>
      <c r="L173" s="220"/>
      <c r="M173" s="147"/>
      <c r="N173" s="147"/>
      <c r="O173" s="219"/>
      <c r="P173" s="143"/>
      <c r="Q173" s="147"/>
      <c r="R173" s="141"/>
      <c r="S173" s="220"/>
      <c r="T173" s="219"/>
      <c r="U173" s="355">
        <f t="shared" si="15"/>
        <v>0</v>
      </c>
      <c r="V173" s="365">
        <f t="shared" si="16"/>
        <v>0</v>
      </c>
      <c r="W173" s="366">
        <f t="shared" si="17"/>
        <v>0</v>
      </c>
      <c r="X173" s="362">
        <f t="shared" si="13"/>
        <v>0</v>
      </c>
      <c r="Y173" s="294">
        <f t="shared" ca="1" si="14"/>
        <v>46104</v>
      </c>
      <c r="Z173" s="378"/>
      <c r="AA173" s="256"/>
      <c r="AB173" s="391">
        <f t="shared" ca="1" si="18"/>
        <v>-46104</v>
      </c>
    </row>
    <row r="174" spans="1:28" s="7" customFormat="1" ht="107.25" hidden="1" customHeight="1" x14ac:dyDescent="1.95">
      <c r="A174" s="10">
        <f>'MODIFICAR CODIGOS '!A174</f>
        <v>0</v>
      </c>
      <c r="B174" s="49">
        <f>'MODIFICAR CODIGOS '!B174</f>
        <v>0</v>
      </c>
      <c r="C174" s="283">
        <f>'MODIFICAR CODIGOS '!C174</f>
        <v>0</v>
      </c>
      <c r="D174" s="10">
        <f>'MODIFICAR CODIGOS '!D174</f>
        <v>0</v>
      </c>
      <c r="E174" s="10">
        <f>'MODIFICAR CODIGOS '!E174</f>
        <v>1</v>
      </c>
      <c r="F174" s="228"/>
      <c r="G174" s="209"/>
      <c r="H174" s="209"/>
      <c r="I174" s="209"/>
      <c r="J174" s="209"/>
      <c r="K174" s="229"/>
      <c r="L174" s="228"/>
      <c r="M174" s="209"/>
      <c r="N174" s="209"/>
      <c r="O174" s="229"/>
      <c r="P174" s="145"/>
      <c r="Q174" s="209"/>
      <c r="R174" s="144"/>
      <c r="S174" s="228"/>
      <c r="T174" s="229"/>
      <c r="U174" s="355">
        <f t="shared" si="15"/>
        <v>0</v>
      </c>
      <c r="V174" s="365">
        <f t="shared" si="16"/>
        <v>0</v>
      </c>
      <c r="W174" s="366">
        <f t="shared" si="17"/>
        <v>0</v>
      </c>
      <c r="X174" s="362">
        <f t="shared" si="13"/>
        <v>0</v>
      </c>
      <c r="Y174" s="294">
        <f t="shared" ca="1" si="14"/>
        <v>46104</v>
      </c>
      <c r="Z174" s="377"/>
      <c r="AA174" s="254"/>
      <c r="AB174" s="391">
        <f t="shared" ca="1" si="18"/>
        <v>-46104</v>
      </c>
    </row>
    <row r="175" spans="1:28" s="7" customFormat="1" ht="107.25" hidden="1" customHeight="1" x14ac:dyDescent="1.95">
      <c r="A175" s="10">
        <f>'MODIFICAR CODIGOS '!A175</f>
        <v>0</v>
      </c>
      <c r="B175" s="49">
        <f>'MODIFICAR CODIGOS '!B175</f>
        <v>0</v>
      </c>
      <c r="C175" s="283">
        <f>'MODIFICAR CODIGOS '!C175</f>
        <v>0</v>
      </c>
      <c r="D175" s="10">
        <f>'MODIFICAR CODIGOS '!D175</f>
        <v>0</v>
      </c>
      <c r="E175" s="10">
        <f>'MODIFICAR CODIGOS '!E175</f>
        <v>1</v>
      </c>
      <c r="F175" s="220"/>
      <c r="G175" s="147"/>
      <c r="H175" s="147"/>
      <c r="I175" s="147"/>
      <c r="J175" s="147"/>
      <c r="K175" s="219"/>
      <c r="L175" s="220"/>
      <c r="M175" s="147"/>
      <c r="N175" s="147"/>
      <c r="O175" s="219"/>
      <c r="P175" s="143"/>
      <c r="Q175" s="147"/>
      <c r="R175" s="141"/>
      <c r="S175" s="220"/>
      <c r="T175" s="219"/>
      <c r="U175" s="355">
        <f t="shared" si="15"/>
        <v>0</v>
      </c>
      <c r="V175" s="365">
        <f t="shared" si="16"/>
        <v>0</v>
      </c>
      <c r="W175" s="366">
        <f t="shared" si="17"/>
        <v>0</v>
      </c>
      <c r="X175" s="362">
        <f t="shared" si="13"/>
        <v>0</v>
      </c>
      <c r="Y175" s="294">
        <f t="shared" ca="1" si="14"/>
        <v>46104</v>
      </c>
      <c r="Z175" s="375"/>
      <c r="AA175" s="249"/>
      <c r="AB175" s="391">
        <f t="shared" ca="1" si="18"/>
        <v>-46104</v>
      </c>
    </row>
    <row r="176" spans="1:28" s="7" customFormat="1" ht="107.25" hidden="1" customHeight="1" x14ac:dyDescent="1.95">
      <c r="A176" s="10">
        <f>'MODIFICAR CODIGOS '!A176</f>
        <v>0</v>
      </c>
      <c r="B176" s="49">
        <f>'MODIFICAR CODIGOS '!B176</f>
        <v>0</v>
      </c>
      <c r="C176" s="283">
        <f>'MODIFICAR CODIGOS '!C176</f>
        <v>0</v>
      </c>
      <c r="D176" s="10">
        <f>'MODIFICAR CODIGOS '!D176</f>
        <v>0</v>
      </c>
      <c r="E176" s="10">
        <f>'MODIFICAR CODIGOS '!E176</f>
        <v>1</v>
      </c>
      <c r="F176" s="220"/>
      <c r="G176" s="147"/>
      <c r="H176" s="147"/>
      <c r="I176" s="147"/>
      <c r="J176" s="147"/>
      <c r="K176" s="219"/>
      <c r="L176" s="220"/>
      <c r="M176" s="147"/>
      <c r="N176" s="147"/>
      <c r="O176" s="219"/>
      <c r="P176" s="143"/>
      <c r="Q176" s="147"/>
      <c r="R176" s="141"/>
      <c r="S176" s="220"/>
      <c r="T176" s="219"/>
      <c r="U176" s="355">
        <f t="shared" si="15"/>
        <v>0</v>
      </c>
      <c r="V176" s="365">
        <f t="shared" si="16"/>
        <v>0</v>
      </c>
      <c r="W176" s="366">
        <f t="shared" si="17"/>
        <v>0</v>
      </c>
      <c r="X176" s="362">
        <f t="shared" si="13"/>
        <v>0</v>
      </c>
      <c r="Y176" s="294">
        <f t="shared" ca="1" si="14"/>
        <v>46104</v>
      </c>
      <c r="Z176" s="375"/>
      <c r="AA176" s="249"/>
      <c r="AB176" s="391">
        <f t="shared" ca="1" si="18"/>
        <v>-46104</v>
      </c>
    </row>
    <row r="177" spans="1:28" s="7" customFormat="1" ht="107.4" hidden="1" x14ac:dyDescent="1.95">
      <c r="A177" s="10">
        <f>'MODIFICAR CODIGOS '!A177</f>
        <v>0</v>
      </c>
      <c r="B177" s="49">
        <f>'MODIFICAR CODIGOS '!B177</f>
        <v>0</v>
      </c>
      <c r="C177" s="283">
        <f>'MODIFICAR CODIGOS '!C177</f>
        <v>0</v>
      </c>
      <c r="D177" s="10">
        <f>'MODIFICAR CODIGOS '!D177</f>
        <v>0</v>
      </c>
      <c r="E177" s="10">
        <f>'MODIFICAR CODIGOS '!E177</f>
        <v>1</v>
      </c>
      <c r="F177" s="232"/>
      <c r="G177" s="146"/>
      <c r="H177" s="146"/>
      <c r="I177" s="146"/>
      <c r="J177" s="146"/>
      <c r="K177" s="233"/>
      <c r="L177" s="232"/>
      <c r="M177" s="146"/>
      <c r="N177" s="146"/>
      <c r="O177" s="233"/>
      <c r="P177" s="150"/>
      <c r="Q177" s="146"/>
      <c r="R177" s="148"/>
      <c r="S177" s="232"/>
      <c r="T177" s="233"/>
      <c r="U177" s="355">
        <f t="shared" si="15"/>
        <v>0</v>
      </c>
      <c r="V177" s="365">
        <f t="shared" si="16"/>
        <v>0</v>
      </c>
      <c r="W177" s="366">
        <f t="shared" si="17"/>
        <v>0</v>
      </c>
      <c r="X177" s="362">
        <f t="shared" si="13"/>
        <v>0</v>
      </c>
      <c r="Y177" s="294">
        <f t="shared" ca="1" si="14"/>
        <v>46104</v>
      </c>
      <c r="Z177" s="378"/>
      <c r="AA177" s="256"/>
      <c r="AB177" s="391">
        <f t="shared" ca="1" si="18"/>
        <v>-46104</v>
      </c>
    </row>
    <row r="178" spans="1:28" s="7" customFormat="1" ht="107.25" hidden="1" customHeight="1" x14ac:dyDescent="1.95">
      <c r="A178" s="10">
        <f>'MODIFICAR CODIGOS '!A178</f>
        <v>0</v>
      </c>
      <c r="B178" s="49">
        <f>'MODIFICAR CODIGOS '!B178</f>
        <v>0</v>
      </c>
      <c r="C178" s="283">
        <f>'MODIFICAR CODIGOS '!C178</f>
        <v>0</v>
      </c>
      <c r="D178" s="10">
        <f>'MODIFICAR CODIGOS '!D178</f>
        <v>0</v>
      </c>
      <c r="E178" s="10">
        <f>'MODIFICAR CODIGOS '!E178</f>
        <v>1</v>
      </c>
      <c r="F178" s="220"/>
      <c r="G178" s="147"/>
      <c r="H178" s="147"/>
      <c r="I178" s="147"/>
      <c r="J178" s="147"/>
      <c r="K178" s="219"/>
      <c r="L178" s="220"/>
      <c r="M178" s="147"/>
      <c r="N178" s="147"/>
      <c r="O178" s="219"/>
      <c r="P178" s="143"/>
      <c r="Q178" s="147"/>
      <c r="R178" s="141"/>
      <c r="S178" s="220"/>
      <c r="T178" s="219"/>
      <c r="U178" s="355">
        <f t="shared" si="15"/>
        <v>0</v>
      </c>
      <c r="V178" s="365">
        <f t="shared" si="16"/>
        <v>0</v>
      </c>
      <c r="W178" s="366">
        <f t="shared" si="17"/>
        <v>0</v>
      </c>
      <c r="X178" s="362">
        <f t="shared" si="13"/>
        <v>0</v>
      </c>
      <c r="Y178" s="294">
        <f t="shared" ca="1" si="14"/>
        <v>46104</v>
      </c>
      <c r="Z178" s="375"/>
      <c r="AA178" s="249"/>
      <c r="AB178" s="391">
        <f t="shared" ca="1" si="18"/>
        <v>-46104</v>
      </c>
    </row>
    <row r="179" spans="1:28" s="7" customFormat="1" ht="107.4" x14ac:dyDescent="1.95">
      <c r="A179" s="10">
        <f>'MODIFICAR CODIGOS '!A179</f>
        <v>120160</v>
      </c>
      <c r="B179" s="269" t="str">
        <f>'MODIFICAR CODIGOS '!B179</f>
        <v>FRESH MANDARINA 2.5 LT PET (8)</v>
      </c>
      <c r="C179" s="283">
        <f>'MODIFICAR CODIGOS '!C179</f>
        <v>60</v>
      </c>
      <c r="D179" s="10">
        <f>'MODIFICAR CODIGOS '!D179</f>
        <v>12</v>
      </c>
      <c r="E179" s="10">
        <f>'MODIFICAR CODIGOS '!E179</f>
        <v>8</v>
      </c>
      <c r="F179" s="220"/>
      <c r="G179" s="147"/>
      <c r="H179" s="147"/>
      <c r="I179" s="147"/>
      <c r="J179" s="147"/>
      <c r="K179" s="219"/>
      <c r="L179" s="220"/>
      <c r="M179" s="147"/>
      <c r="N179" s="147"/>
      <c r="O179" s="219"/>
      <c r="P179" s="143"/>
      <c r="Q179" s="147">
        <v>8</v>
      </c>
      <c r="R179" s="141"/>
      <c r="S179" s="220"/>
      <c r="T179" s="219"/>
      <c r="U179" s="355">
        <f t="shared" si="15"/>
        <v>8</v>
      </c>
      <c r="V179" s="365">
        <f t="shared" si="16"/>
        <v>8</v>
      </c>
      <c r="W179" s="366">
        <f t="shared" si="17"/>
        <v>0</v>
      </c>
      <c r="X179" s="362">
        <f t="shared" si="13"/>
        <v>8</v>
      </c>
      <c r="Y179" s="294">
        <f t="shared" ca="1" si="14"/>
        <v>46104</v>
      </c>
      <c r="Z179" s="375"/>
      <c r="AA179" s="384"/>
      <c r="AB179" s="391">
        <f t="shared" ca="1" si="18"/>
        <v>-46104</v>
      </c>
    </row>
    <row r="180" spans="1:28" s="7" customFormat="1" ht="107.25" hidden="1" customHeight="1" x14ac:dyDescent="1.95">
      <c r="A180" s="10">
        <f>'MODIFICAR CODIGOS '!A180</f>
        <v>0</v>
      </c>
      <c r="B180" s="49">
        <f>'MODIFICAR CODIGOS '!B180</f>
        <v>0</v>
      </c>
      <c r="C180" s="283">
        <f>'MODIFICAR CODIGOS '!C180</f>
        <v>0</v>
      </c>
      <c r="D180" s="10">
        <f>'MODIFICAR CODIGOS '!D180</f>
        <v>0</v>
      </c>
      <c r="E180" s="10">
        <f>'MODIFICAR CODIGOS '!E180</f>
        <v>1</v>
      </c>
      <c r="F180" s="220"/>
      <c r="G180" s="147"/>
      <c r="H180" s="147"/>
      <c r="I180" s="147"/>
      <c r="J180" s="147"/>
      <c r="K180" s="219"/>
      <c r="L180" s="220"/>
      <c r="M180" s="147"/>
      <c r="N180" s="147"/>
      <c r="O180" s="219"/>
      <c r="P180" s="143"/>
      <c r="Q180" s="147"/>
      <c r="R180" s="141"/>
      <c r="S180" s="220"/>
      <c r="T180" s="219"/>
      <c r="U180" s="355">
        <f t="shared" si="15"/>
        <v>0</v>
      </c>
      <c r="V180" s="365">
        <f t="shared" si="16"/>
        <v>0</v>
      </c>
      <c r="W180" s="366">
        <f t="shared" si="17"/>
        <v>0</v>
      </c>
      <c r="X180" s="362">
        <f t="shared" si="13"/>
        <v>0</v>
      </c>
      <c r="Y180" s="294">
        <f t="shared" ca="1" si="14"/>
        <v>46104</v>
      </c>
      <c r="Z180" s="375"/>
      <c r="AA180" s="249"/>
      <c r="AB180" s="391">
        <f t="shared" ca="1" si="18"/>
        <v>-46104</v>
      </c>
    </row>
    <row r="181" spans="1:28" s="7" customFormat="1" ht="107.25" hidden="1" customHeight="1" x14ac:dyDescent="1.95">
      <c r="A181" s="10">
        <f>'MODIFICAR CODIGOS '!A181</f>
        <v>0</v>
      </c>
      <c r="B181" s="49">
        <f>'MODIFICAR CODIGOS '!B181</f>
        <v>0</v>
      </c>
      <c r="C181" s="283">
        <f>'MODIFICAR CODIGOS '!C181</f>
        <v>0</v>
      </c>
      <c r="D181" s="10">
        <f>'MODIFICAR CODIGOS '!D181</f>
        <v>0</v>
      </c>
      <c r="E181" s="10">
        <f>'MODIFICAR CODIGOS '!E181</f>
        <v>1</v>
      </c>
      <c r="F181" s="220"/>
      <c r="G181" s="147"/>
      <c r="H181" s="147"/>
      <c r="I181" s="147"/>
      <c r="J181" s="147"/>
      <c r="K181" s="219"/>
      <c r="L181" s="220"/>
      <c r="M181" s="147"/>
      <c r="N181" s="147"/>
      <c r="O181" s="219"/>
      <c r="P181" s="143"/>
      <c r="Q181" s="147"/>
      <c r="R181" s="141"/>
      <c r="S181" s="220"/>
      <c r="T181" s="219"/>
      <c r="U181" s="355">
        <f t="shared" si="15"/>
        <v>0</v>
      </c>
      <c r="V181" s="365">
        <f t="shared" si="16"/>
        <v>0</v>
      </c>
      <c r="W181" s="366">
        <f t="shared" si="17"/>
        <v>0</v>
      </c>
      <c r="X181" s="362">
        <f t="shared" si="13"/>
        <v>0</v>
      </c>
      <c r="Y181" s="294">
        <f t="shared" ca="1" si="14"/>
        <v>46104</v>
      </c>
      <c r="Z181" s="375"/>
      <c r="AA181" s="249"/>
      <c r="AB181" s="391">
        <f t="shared" ca="1" si="18"/>
        <v>-46104</v>
      </c>
    </row>
    <row r="182" spans="1:28" s="7" customFormat="1" ht="107.25" hidden="1" customHeight="1" x14ac:dyDescent="1.95">
      <c r="A182" s="10">
        <f>'MODIFICAR CODIGOS '!A182</f>
        <v>0</v>
      </c>
      <c r="B182" s="49">
        <f>'MODIFICAR CODIGOS '!B182</f>
        <v>0</v>
      </c>
      <c r="C182" s="283">
        <f>'MODIFICAR CODIGOS '!C182</f>
        <v>0</v>
      </c>
      <c r="D182" s="10">
        <f>'MODIFICAR CODIGOS '!D182</f>
        <v>0</v>
      </c>
      <c r="E182" s="10">
        <f>'MODIFICAR CODIGOS '!E182</f>
        <v>1</v>
      </c>
      <c r="F182" s="220"/>
      <c r="G182" s="147"/>
      <c r="H182" s="147"/>
      <c r="I182" s="147"/>
      <c r="J182" s="147"/>
      <c r="K182" s="219"/>
      <c r="L182" s="220"/>
      <c r="M182" s="147"/>
      <c r="N182" s="147"/>
      <c r="O182" s="219"/>
      <c r="P182" s="143"/>
      <c r="Q182" s="147"/>
      <c r="R182" s="141"/>
      <c r="S182" s="220"/>
      <c r="T182" s="219"/>
      <c r="U182" s="355">
        <f t="shared" si="15"/>
        <v>0</v>
      </c>
      <c r="V182" s="365">
        <f t="shared" si="16"/>
        <v>0</v>
      </c>
      <c r="W182" s="366">
        <f t="shared" si="17"/>
        <v>0</v>
      </c>
      <c r="X182" s="362">
        <f t="shared" si="13"/>
        <v>0</v>
      </c>
      <c r="Y182" s="294">
        <f t="shared" ca="1" si="14"/>
        <v>46104</v>
      </c>
      <c r="Z182" s="375"/>
      <c r="AA182" s="249"/>
      <c r="AB182" s="391">
        <f t="shared" ca="1" si="18"/>
        <v>-46104</v>
      </c>
    </row>
    <row r="183" spans="1:28" s="7" customFormat="1" ht="108" customHeight="1" x14ac:dyDescent="1.95">
      <c r="A183" s="10">
        <f>'MODIFICAR CODIGOS '!A183</f>
        <v>120118</v>
      </c>
      <c r="B183" s="269" t="str">
        <f>'MODIFICAR CODIGOS '!B183</f>
        <v>DEL VALLE CITRUS 1.5 LTS PET (12)</v>
      </c>
      <c r="C183" s="283">
        <f>'MODIFICAR CODIGOS '!C183</f>
        <v>65</v>
      </c>
      <c r="D183" s="10">
        <f>'MODIFICAR CODIGOS '!D183</f>
        <v>13</v>
      </c>
      <c r="E183" s="10">
        <f>'MODIFICAR CODIGOS '!E183</f>
        <v>12</v>
      </c>
      <c r="F183" s="220"/>
      <c r="G183" s="147"/>
      <c r="H183" s="147"/>
      <c r="I183" s="147">
        <v>3</v>
      </c>
      <c r="J183" s="147"/>
      <c r="K183" s="219"/>
      <c r="L183" s="220"/>
      <c r="M183" s="147"/>
      <c r="N183" s="147"/>
      <c r="O183" s="219"/>
      <c r="P183" s="143"/>
      <c r="Q183" s="147">
        <v>58</v>
      </c>
      <c r="R183" s="141"/>
      <c r="S183" s="220">
        <v>3</v>
      </c>
      <c r="T183" s="219"/>
      <c r="U183" s="355">
        <f t="shared" si="15"/>
        <v>253.03</v>
      </c>
      <c r="V183" s="365">
        <f t="shared" si="16"/>
        <v>253</v>
      </c>
      <c r="W183" s="366">
        <f t="shared" si="17"/>
        <v>3</v>
      </c>
      <c r="X183" s="362">
        <f t="shared" si="13"/>
        <v>253.25</v>
      </c>
      <c r="Y183" s="294">
        <f t="shared" ca="1" si="14"/>
        <v>46104</v>
      </c>
      <c r="Z183" s="375"/>
      <c r="AA183" s="384"/>
      <c r="AB183" s="391">
        <f t="shared" ca="1" si="18"/>
        <v>-46104</v>
      </c>
    </row>
    <row r="184" spans="1:28" s="7" customFormat="1" ht="108" customHeight="1" x14ac:dyDescent="1.95">
      <c r="A184" s="10">
        <f>'MODIFICAR CODIGOS '!A184</f>
        <v>120119</v>
      </c>
      <c r="B184" s="269" t="str">
        <f>'MODIFICAR CODIGOS '!B184</f>
        <v>DEL VALLE CITRUS 2.5 LTS PET (6)</v>
      </c>
      <c r="C184" s="283">
        <f>'MODIFICAR CODIGOS '!C184</f>
        <v>60</v>
      </c>
      <c r="D184" s="316">
        <f>'MODIFICAR CODIGOS '!D184</f>
        <v>12</v>
      </c>
      <c r="E184" s="10">
        <f>'MODIFICAR CODIGOS '!E184</f>
        <v>8</v>
      </c>
      <c r="F184" s="220"/>
      <c r="G184" s="147"/>
      <c r="H184" s="147"/>
      <c r="I184" s="147"/>
      <c r="J184" s="147"/>
      <c r="K184" s="219"/>
      <c r="L184" s="220"/>
      <c r="M184" s="147"/>
      <c r="N184" s="147"/>
      <c r="O184" s="219"/>
      <c r="P184" s="143"/>
      <c r="Q184" s="147"/>
      <c r="R184" s="141">
        <v>22</v>
      </c>
      <c r="S184" s="220">
        <v>1</v>
      </c>
      <c r="T184" s="219"/>
      <c r="U184" s="355">
        <f t="shared" si="15"/>
        <v>22.01</v>
      </c>
      <c r="V184" s="365">
        <f t="shared" si="16"/>
        <v>22</v>
      </c>
      <c r="W184" s="366">
        <f t="shared" si="17"/>
        <v>1</v>
      </c>
      <c r="X184" s="362">
        <f t="shared" si="13"/>
        <v>22.125</v>
      </c>
      <c r="Y184" s="294">
        <f t="shared" ca="1" si="14"/>
        <v>46104</v>
      </c>
      <c r="Z184" s="375"/>
      <c r="AA184" s="384"/>
      <c r="AB184" s="391">
        <f t="shared" ca="1" si="18"/>
        <v>-46104</v>
      </c>
    </row>
    <row r="185" spans="1:28" s="7" customFormat="1" ht="107.4" x14ac:dyDescent="1.95">
      <c r="A185" s="10" t="s">
        <v>396</v>
      </c>
      <c r="B185" s="269"/>
      <c r="C185" s="236"/>
      <c r="D185" s="71"/>
      <c r="E185" s="315"/>
      <c r="F185" s="236"/>
      <c r="G185" s="71"/>
      <c r="H185" s="71"/>
      <c r="I185" s="71"/>
      <c r="J185" s="71"/>
      <c r="K185" s="237"/>
      <c r="L185" s="236"/>
      <c r="M185" s="71"/>
      <c r="N185" s="71"/>
      <c r="O185" s="237"/>
      <c r="P185" s="71"/>
      <c r="Q185" s="71"/>
      <c r="R185" s="71"/>
      <c r="S185" s="236"/>
      <c r="T185" s="71"/>
      <c r="U185" s="348"/>
      <c r="V185" s="365" t="e">
        <f t="shared" si="16"/>
        <v>#DIV/0!</v>
      </c>
      <c r="W185" s="366" t="e">
        <f t="shared" si="17"/>
        <v>#DIV/0!</v>
      </c>
      <c r="X185" s="394"/>
      <c r="Y185" s="395"/>
      <c r="Z185" s="380"/>
      <c r="AA185" s="258"/>
      <c r="AB185" s="391">
        <f t="shared" si="18"/>
        <v>0</v>
      </c>
    </row>
    <row r="186" spans="1:28" s="7" customFormat="1" ht="107.25" hidden="1" customHeight="1" x14ac:dyDescent="1.95">
      <c r="A186" s="10">
        <f>'MODIFICAR CODIGOS '!A186</f>
        <v>0</v>
      </c>
      <c r="B186" s="49">
        <f>'MODIFICAR CODIGOS '!B186</f>
        <v>0</v>
      </c>
      <c r="C186" s="283">
        <f>'MODIFICAR CODIGOS '!C186</f>
        <v>0</v>
      </c>
      <c r="D186" s="317">
        <f>'MODIFICAR CODIGOS '!D186</f>
        <v>0</v>
      </c>
      <c r="E186" s="10">
        <f>'MODIFICAR CODIGOS '!E186</f>
        <v>1</v>
      </c>
      <c r="F186" s="220"/>
      <c r="G186" s="147"/>
      <c r="H186" s="147"/>
      <c r="I186" s="147"/>
      <c r="J186" s="147"/>
      <c r="K186" s="219"/>
      <c r="L186" s="220"/>
      <c r="M186" s="147"/>
      <c r="N186" s="147"/>
      <c r="O186" s="219"/>
      <c r="P186" s="143"/>
      <c r="Q186" s="147"/>
      <c r="R186" s="141"/>
      <c r="S186" s="220"/>
      <c r="T186" s="219"/>
      <c r="U186" s="355">
        <f t="shared" si="15"/>
        <v>0</v>
      </c>
      <c r="V186" s="365">
        <f t="shared" si="16"/>
        <v>0</v>
      </c>
      <c r="W186" s="366">
        <f t="shared" si="17"/>
        <v>0</v>
      </c>
      <c r="X186" s="362">
        <f t="shared" si="13"/>
        <v>0</v>
      </c>
      <c r="Y186" s="294">
        <f t="shared" ca="1" si="14"/>
        <v>46104</v>
      </c>
      <c r="Z186" s="375"/>
      <c r="AA186" s="249"/>
      <c r="AB186" s="391">
        <f t="shared" ca="1" si="18"/>
        <v>-46104</v>
      </c>
    </row>
    <row r="187" spans="1:28" s="7" customFormat="1" ht="107.25" hidden="1" customHeight="1" x14ac:dyDescent="1.95">
      <c r="A187" s="10">
        <f>'MODIFICAR CODIGOS '!A187</f>
        <v>0</v>
      </c>
      <c r="B187" s="49">
        <f>'MODIFICAR CODIGOS '!B187</f>
        <v>0</v>
      </c>
      <c r="C187" s="283">
        <f>'MODIFICAR CODIGOS '!C187</f>
        <v>0</v>
      </c>
      <c r="D187" s="10">
        <f>'MODIFICAR CODIGOS '!D187</f>
        <v>0</v>
      </c>
      <c r="E187" s="10">
        <f>'MODIFICAR CODIGOS '!E187</f>
        <v>1</v>
      </c>
      <c r="F187" s="220"/>
      <c r="G187" s="147"/>
      <c r="H187" s="147"/>
      <c r="I187" s="147"/>
      <c r="J187" s="147"/>
      <c r="K187" s="219"/>
      <c r="L187" s="220"/>
      <c r="M187" s="147"/>
      <c r="N187" s="147"/>
      <c r="O187" s="219"/>
      <c r="P187" s="143"/>
      <c r="Q187" s="147"/>
      <c r="R187" s="141"/>
      <c r="S187" s="220"/>
      <c r="T187" s="219"/>
      <c r="U187" s="355">
        <f t="shared" si="15"/>
        <v>0</v>
      </c>
      <c r="V187" s="365">
        <f t="shared" si="16"/>
        <v>0</v>
      </c>
      <c r="W187" s="366">
        <f t="shared" si="17"/>
        <v>0</v>
      </c>
      <c r="X187" s="362">
        <f t="shared" si="13"/>
        <v>0</v>
      </c>
      <c r="Y187" s="294">
        <f t="shared" ca="1" si="14"/>
        <v>46104</v>
      </c>
      <c r="Z187" s="375"/>
      <c r="AA187" s="249"/>
      <c r="AB187" s="391">
        <f t="shared" ca="1" si="18"/>
        <v>-46104</v>
      </c>
    </row>
    <row r="188" spans="1:28" s="7" customFormat="1" ht="107.25" hidden="1" customHeight="1" x14ac:dyDescent="1.95">
      <c r="A188" s="10">
        <f>'MODIFICAR CODIGOS '!A188</f>
        <v>0</v>
      </c>
      <c r="B188" s="49">
        <f>'MODIFICAR CODIGOS '!B188</f>
        <v>0</v>
      </c>
      <c r="C188" s="283">
        <f>'MODIFICAR CODIGOS '!C188</f>
        <v>0</v>
      </c>
      <c r="D188" s="10">
        <f>'MODIFICAR CODIGOS '!D188</f>
        <v>0</v>
      </c>
      <c r="E188" s="10">
        <f>'MODIFICAR CODIGOS '!E188</f>
        <v>1</v>
      </c>
      <c r="F188" s="220"/>
      <c r="G188" s="147"/>
      <c r="H188" s="147"/>
      <c r="I188" s="147"/>
      <c r="J188" s="147"/>
      <c r="K188" s="219"/>
      <c r="L188" s="220"/>
      <c r="M188" s="147"/>
      <c r="N188" s="147"/>
      <c r="O188" s="219"/>
      <c r="P188" s="143"/>
      <c r="Q188" s="147"/>
      <c r="R188" s="141"/>
      <c r="S188" s="220"/>
      <c r="T188" s="219"/>
      <c r="U188" s="355">
        <f t="shared" si="15"/>
        <v>0</v>
      </c>
      <c r="V188" s="365">
        <f t="shared" si="16"/>
        <v>0</v>
      </c>
      <c r="W188" s="366">
        <f t="shared" si="17"/>
        <v>0</v>
      </c>
      <c r="X188" s="362">
        <f t="shared" si="13"/>
        <v>0</v>
      </c>
      <c r="Y188" s="294">
        <f t="shared" ca="1" si="14"/>
        <v>46104</v>
      </c>
      <c r="Z188" s="375"/>
      <c r="AA188" s="384"/>
      <c r="AB188" s="391">
        <f t="shared" ca="1" si="18"/>
        <v>-46104</v>
      </c>
    </row>
    <row r="189" spans="1:28" s="7" customFormat="1" ht="107.25" hidden="1" customHeight="1" x14ac:dyDescent="1.95">
      <c r="A189" s="10">
        <f>'MODIFICAR CODIGOS '!A189</f>
        <v>0</v>
      </c>
      <c r="B189" s="49">
        <f>'MODIFICAR CODIGOS '!B189</f>
        <v>0</v>
      </c>
      <c r="C189" s="283">
        <f>'MODIFICAR CODIGOS '!C189</f>
        <v>0</v>
      </c>
      <c r="D189" s="10">
        <f>'MODIFICAR CODIGOS '!D189</f>
        <v>0</v>
      </c>
      <c r="E189" s="10">
        <f>'MODIFICAR CODIGOS '!E189</f>
        <v>1</v>
      </c>
      <c r="F189" s="220"/>
      <c r="G189" s="147"/>
      <c r="H189" s="147"/>
      <c r="I189" s="147"/>
      <c r="J189" s="147"/>
      <c r="K189" s="219"/>
      <c r="L189" s="220"/>
      <c r="M189" s="213"/>
      <c r="N189" s="147"/>
      <c r="O189" s="219"/>
      <c r="P189" s="143"/>
      <c r="Q189" s="147"/>
      <c r="R189" s="141"/>
      <c r="S189" s="220"/>
      <c r="T189" s="219"/>
      <c r="U189" s="355">
        <f t="shared" si="15"/>
        <v>0</v>
      </c>
      <c r="V189" s="365">
        <f t="shared" si="16"/>
        <v>0</v>
      </c>
      <c r="W189" s="366">
        <f t="shared" si="17"/>
        <v>0</v>
      </c>
      <c r="X189" s="362">
        <f t="shared" si="13"/>
        <v>0</v>
      </c>
      <c r="Y189" s="294">
        <f t="shared" ca="1" si="14"/>
        <v>46104</v>
      </c>
      <c r="Z189" s="375"/>
      <c r="AA189" s="249"/>
      <c r="AB189" s="391">
        <f t="shared" ca="1" si="18"/>
        <v>-46104</v>
      </c>
    </row>
    <row r="190" spans="1:28" s="7" customFormat="1" ht="107.25" hidden="1" customHeight="1" x14ac:dyDescent="1.95">
      <c r="A190" s="10">
        <f>'MODIFICAR CODIGOS '!A190</f>
        <v>0</v>
      </c>
      <c r="B190" s="49">
        <f>'MODIFICAR CODIGOS '!B190</f>
        <v>0</v>
      </c>
      <c r="C190" s="283">
        <f>'MODIFICAR CODIGOS '!C190</f>
        <v>0</v>
      </c>
      <c r="D190" s="10">
        <f>'MODIFICAR CODIGOS '!D190</f>
        <v>0</v>
      </c>
      <c r="E190" s="10">
        <f>'MODIFICAR CODIGOS '!E190</f>
        <v>1</v>
      </c>
      <c r="F190" s="220"/>
      <c r="G190" s="147"/>
      <c r="H190" s="147"/>
      <c r="I190" s="147"/>
      <c r="J190" s="147"/>
      <c r="K190" s="219"/>
      <c r="L190" s="220"/>
      <c r="M190" s="213"/>
      <c r="N190" s="147"/>
      <c r="O190" s="219"/>
      <c r="P190" s="143"/>
      <c r="Q190" s="147"/>
      <c r="R190" s="141"/>
      <c r="S190" s="220"/>
      <c r="T190" s="219"/>
      <c r="U190" s="355">
        <f t="shared" si="15"/>
        <v>0</v>
      </c>
      <c r="V190" s="365">
        <f t="shared" si="16"/>
        <v>0</v>
      </c>
      <c r="W190" s="366">
        <f t="shared" si="17"/>
        <v>0</v>
      </c>
      <c r="X190" s="362">
        <f t="shared" si="13"/>
        <v>0</v>
      </c>
      <c r="Y190" s="294">
        <f t="shared" ca="1" si="14"/>
        <v>46104</v>
      </c>
      <c r="Z190" s="375"/>
      <c r="AA190" s="249"/>
      <c r="AB190" s="391">
        <f t="shared" ca="1" si="18"/>
        <v>-46104</v>
      </c>
    </row>
    <row r="191" spans="1:28" s="7" customFormat="1" ht="107.25" hidden="1" customHeight="1" x14ac:dyDescent="1.95">
      <c r="A191" s="10">
        <f>'MODIFICAR CODIGOS '!A191</f>
        <v>0</v>
      </c>
      <c r="B191" s="49">
        <f>'MODIFICAR CODIGOS '!B191</f>
        <v>0</v>
      </c>
      <c r="C191" s="283">
        <f>'MODIFICAR CODIGOS '!C191</f>
        <v>0</v>
      </c>
      <c r="D191" s="10">
        <f>'MODIFICAR CODIGOS '!D191</f>
        <v>0</v>
      </c>
      <c r="E191" s="10">
        <f>'MODIFICAR CODIGOS '!E191</f>
        <v>1</v>
      </c>
      <c r="F191" s="220"/>
      <c r="G191" s="147"/>
      <c r="H191" s="147"/>
      <c r="I191" s="147"/>
      <c r="J191" s="147"/>
      <c r="K191" s="219"/>
      <c r="L191" s="220"/>
      <c r="M191" s="213"/>
      <c r="N191" s="147"/>
      <c r="O191" s="219"/>
      <c r="P191" s="143"/>
      <c r="Q191" s="147"/>
      <c r="R191" s="141"/>
      <c r="S191" s="220"/>
      <c r="T191" s="219"/>
      <c r="U191" s="355">
        <f t="shared" si="15"/>
        <v>0</v>
      </c>
      <c r="V191" s="365">
        <f t="shared" si="16"/>
        <v>0</v>
      </c>
      <c r="W191" s="366">
        <f t="shared" si="17"/>
        <v>0</v>
      </c>
      <c r="X191" s="362">
        <f t="shared" ref="X191:X192" si="19">V191+W191/E191</f>
        <v>0</v>
      </c>
      <c r="Y191" s="294">
        <f t="shared" ref="Y191:Y193" ca="1" si="20">TODAY()</f>
        <v>46104</v>
      </c>
      <c r="Z191" s="375"/>
      <c r="AA191" s="249"/>
      <c r="AB191" s="391">
        <f t="shared" ca="1" si="18"/>
        <v>-46104</v>
      </c>
    </row>
    <row r="192" spans="1:28" s="7" customFormat="1" ht="107.25" hidden="1" customHeight="1" x14ac:dyDescent="1.95">
      <c r="A192" s="10">
        <f>'MODIFICAR CODIGOS '!A192</f>
        <v>0</v>
      </c>
      <c r="B192" s="49">
        <f>'MODIFICAR CODIGOS '!B192</f>
        <v>0</v>
      </c>
      <c r="C192" s="283">
        <f>'MODIFICAR CODIGOS '!C192</f>
        <v>0</v>
      </c>
      <c r="D192" s="10">
        <f>'MODIFICAR CODIGOS '!D192</f>
        <v>0</v>
      </c>
      <c r="E192" s="10">
        <f>'MODIFICAR CODIGOS '!E192</f>
        <v>1</v>
      </c>
      <c r="F192" s="220"/>
      <c r="G192" s="147"/>
      <c r="H192" s="147"/>
      <c r="I192" s="147"/>
      <c r="J192" s="147"/>
      <c r="K192" s="219"/>
      <c r="L192" s="220"/>
      <c r="M192" s="213"/>
      <c r="N192" s="147"/>
      <c r="O192" s="219"/>
      <c r="P192" s="143"/>
      <c r="Q192" s="147"/>
      <c r="R192" s="141"/>
      <c r="S192" s="220"/>
      <c r="T192" s="219"/>
      <c r="U192" s="355">
        <f t="shared" ref="U192:U193" si="21">(F192*C192+G192*C192+H192*C192+I192*C192+J192*C192+K192*C192+L192*D192+M192*D192+N192*D192+O192*D192+P192*1+Q192*1+R192*1+(TRUNC((S192+T192)/E192)))+(((S192+T192)/E192-TRUNC((S192+T192)/E192))*E192)/100</f>
        <v>0</v>
      </c>
      <c r="V192" s="365">
        <f t="shared" si="16"/>
        <v>0</v>
      </c>
      <c r="W192" s="366">
        <f t="shared" si="17"/>
        <v>0</v>
      </c>
      <c r="X192" s="362">
        <f t="shared" si="19"/>
        <v>0</v>
      </c>
      <c r="Y192" s="294">
        <f t="shared" ca="1" si="20"/>
        <v>46104</v>
      </c>
      <c r="Z192" s="375"/>
      <c r="AA192" s="249"/>
      <c r="AB192" s="391">
        <f t="shared" ca="1" si="18"/>
        <v>-46104</v>
      </c>
    </row>
    <row r="193" spans="1:28" s="7" customFormat="1" ht="108" customHeight="1" thickBot="1" x14ac:dyDescent="2">
      <c r="A193" s="10">
        <f>'MODIFICAR CODIGOS '!A193</f>
        <v>120116</v>
      </c>
      <c r="B193" s="49" t="str">
        <f>'MODIFICAR CODIGOS '!B193</f>
        <v>FRESH CITRUS 188 ML (24)Sin Precio</v>
      </c>
      <c r="C193" s="283">
        <f>'MODIFICAR CODIGOS '!C193</f>
        <v>189</v>
      </c>
      <c r="D193" s="10">
        <f>'MODIFICAR CODIGOS '!D193</f>
        <v>21</v>
      </c>
      <c r="E193" s="10">
        <f>'MODIFICAR CODIGOS '!E193</f>
        <v>24</v>
      </c>
      <c r="F193" s="220"/>
      <c r="G193" s="147"/>
      <c r="H193" s="147"/>
      <c r="I193" s="147"/>
      <c r="J193" s="147"/>
      <c r="K193" s="219"/>
      <c r="L193" s="220"/>
      <c r="M193" s="213"/>
      <c r="N193" s="147"/>
      <c r="O193" s="219"/>
      <c r="P193" s="143"/>
      <c r="Q193" s="147"/>
      <c r="R193" s="141"/>
      <c r="S193" s="220"/>
      <c r="T193" s="219"/>
      <c r="U193" s="355">
        <f t="shared" si="21"/>
        <v>0</v>
      </c>
      <c r="V193" s="365">
        <f t="shared" si="16"/>
        <v>0</v>
      </c>
      <c r="W193" s="366">
        <f t="shared" si="17"/>
        <v>0</v>
      </c>
      <c r="X193" s="362">
        <f t="shared" ref="X193" si="22">V193+W193/E193</f>
        <v>0</v>
      </c>
      <c r="Y193" s="294">
        <f t="shared" ca="1" si="20"/>
        <v>46104</v>
      </c>
      <c r="Z193" s="375"/>
      <c r="AA193" s="249"/>
      <c r="AB193" s="391">
        <f t="shared" ca="1" si="18"/>
        <v>-46104</v>
      </c>
    </row>
    <row r="194" spans="1:28" s="7" customFormat="1" ht="111.6" thickBot="1" x14ac:dyDescent="2">
      <c r="A194" s="55" t="s">
        <v>0</v>
      </c>
      <c r="B194" s="263" t="s">
        <v>1</v>
      </c>
      <c r="C194" s="280" t="s">
        <v>114</v>
      </c>
      <c r="D194" s="57" t="s">
        <v>115</v>
      </c>
      <c r="E194" s="281" t="s">
        <v>406</v>
      </c>
      <c r="F194" s="399" t="s">
        <v>408</v>
      </c>
      <c r="G194" s="400"/>
      <c r="H194" s="400"/>
      <c r="I194" s="400"/>
      <c r="J194" s="400"/>
      <c r="K194" s="401"/>
      <c r="L194" s="402" t="s">
        <v>409</v>
      </c>
      <c r="M194" s="403"/>
      <c r="N194" s="403"/>
      <c r="O194" s="404"/>
      <c r="P194" s="405" t="s">
        <v>411</v>
      </c>
      <c r="Q194" s="405"/>
      <c r="R194" s="405"/>
      <c r="S194" s="402" t="s">
        <v>410</v>
      </c>
      <c r="T194" s="404"/>
      <c r="U194" s="358" t="s">
        <v>2</v>
      </c>
      <c r="V194" s="365" t="e">
        <f t="shared" si="16"/>
        <v>#VALUE!</v>
      </c>
      <c r="W194" s="366" t="e">
        <f t="shared" si="17"/>
        <v>#VALUE!</v>
      </c>
      <c r="X194" s="369" t="s">
        <v>478</v>
      </c>
      <c r="Y194" s="253" t="s">
        <v>412</v>
      </c>
      <c r="Z194" s="374"/>
      <c r="AA194" s="386" t="s">
        <v>413</v>
      </c>
      <c r="AB194" s="392" t="s">
        <v>479</v>
      </c>
    </row>
    <row r="195" spans="1:28" s="7" customFormat="1" ht="107.25" hidden="1" customHeight="1" x14ac:dyDescent="1.95">
      <c r="A195" s="10">
        <f>'MODIFICAR CODIGOS '!A195</f>
        <v>0</v>
      </c>
      <c r="B195" s="49">
        <f>'MODIFICAR CODIGOS '!B195</f>
        <v>0</v>
      </c>
      <c r="C195" s="283">
        <f>'MODIFICAR CODIGOS '!C195</f>
        <v>0</v>
      </c>
      <c r="D195" s="10">
        <f>'MODIFICAR CODIGOS '!D195</f>
        <v>0</v>
      </c>
      <c r="E195" s="10">
        <f>'MODIFICAR CODIGOS '!E195</f>
        <v>1</v>
      </c>
      <c r="F195" s="220"/>
      <c r="G195" s="147"/>
      <c r="H195" s="147"/>
      <c r="I195" s="147"/>
      <c r="J195" s="147"/>
      <c r="K195" s="219"/>
      <c r="L195" s="220"/>
      <c r="M195" s="147"/>
      <c r="N195" s="147"/>
      <c r="O195" s="219"/>
      <c r="P195" s="143"/>
      <c r="Q195" s="147"/>
      <c r="R195" s="141"/>
      <c r="S195" s="220"/>
      <c r="T195" s="219"/>
      <c r="U195" s="212">
        <f t="shared" ref="U195:U249" si="23">(F195*C195+G195*C195+H195*C195+I195*C195+J195*C195+K195*C195+L195*D195+M195*D195+N195*D195+O195*D195+P195*1+Q195*1+R195*1+(TRUNC((S195+T195)/E195)))+(((S195+T195)/E195-TRUNC((S195+T195)/E195))*E195)/100</f>
        <v>0</v>
      </c>
      <c r="V195" s="365">
        <f t="shared" ref="V195:V258" si="24">(F195*C195+G195*C195+H195*C195+I195*C195+J195*C195+K195*C195+L195*D195+M195*D195+N195*D195+O195*D195+P195*1+Q195*1+R195*1+(TRUNC((S195+T195)/E195)))</f>
        <v>0</v>
      </c>
      <c r="W195" s="366">
        <f t="shared" ref="W195:W258" si="25">(((S195+T195)/E195-TRUNC((S195+T195)/E195))*E195)</f>
        <v>0</v>
      </c>
      <c r="X195" s="362">
        <f t="shared" ref="X195:X248" si="26">V195+W195/E195</f>
        <v>0</v>
      </c>
      <c r="Y195" s="294">
        <f t="shared" ref="Y195:Y199" ca="1" si="27">TODAY()</f>
        <v>46104</v>
      </c>
      <c r="Z195" s="375"/>
      <c r="AA195" s="249"/>
      <c r="AB195" s="391">
        <f t="shared" ca="1" si="18"/>
        <v>-46104</v>
      </c>
    </row>
    <row r="196" spans="1:28" s="7" customFormat="1" ht="107.25" hidden="1" customHeight="1" x14ac:dyDescent="1.95">
      <c r="A196" s="10">
        <f>'MODIFICAR CODIGOS '!A196</f>
        <v>0</v>
      </c>
      <c r="B196" s="49">
        <f>'MODIFICAR CODIGOS '!B196</f>
        <v>0</v>
      </c>
      <c r="C196" s="283">
        <f>'MODIFICAR CODIGOS '!C196</f>
        <v>0</v>
      </c>
      <c r="D196" s="10">
        <f>'MODIFICAR CODIGOS '!D196</f>
        <v>0</v>
      </c>
      <c r="E196" s="10">
        <f>'MODIFICAR CODIGOS '!E196</f>
        <v>1</v>
      </c>
      <c r="F196" s="220"/>
      <c r="G196" s="147"/>
      <c r="H196" s="147"/>
      <c r="I196" s="147"/>
      <c r="J196" s="147"/>
      <c r="K196" s="219"/>
      <c r="L196" s="220"/>
      <c r="M196" s="147"/>
      <c r="N196" s="147"/>
      <c r="O196" s="219"/>
      <c r="P196" s="143"/>
      <c r="Q196" s="147"/>
      <c r="R196" s="141"/>
      <c r="S196" s="220"/>
      <c r="T196" s="219"/>
      <c r="U196" s="212">
        <f t="shared" si="23"/>
        <v>0</v>
      </c>
      <c r="V196" s="365">
        <f t="shared" si="24"/>
        <v>0</v>
      </c>
      <c r="W196" s="366">
        <f t="shared" si="25"/>
        <v>0</v>
      </c>
      <c r="X196" s="362">
        <f t="shared" si="26"/>
        <v>0</v>
      </c>
      <c r="Y196" s="294">
        <f t="shared" ca="1" si="27"/>
        <v>46104</v>
      </c>
      <c r="Z196" s="375"/>
      <c r="AA196" s="249"/>
      <c r="AB196" s="391">
        <f t="shared" ca="1" si="18"/>
        <v>-46104</v>
      </c>
    </row>
    <row r="197" spans="1:28" s="7" customFormat="1" ht="107.25" hidden="1" customHeight="1" x14ac:dyDescent="1.95">
      <c r="A197" s="10">
        <f>'MODIFICAR CODIGOS '!A197</f>
        <v>0</v>
      </c>
      <c r="B197" s="49">
        <f>'MODIFICAR CODIGOS '!B197</f>
        <v>0</v>
      </c>
      <c r="C197" s="283">
        <f>'MODIFICAR CODIGOS '!C197</f>
        <v>0</v>
      </c>
      <c r="D197" s="10">
        <f>'MODIFICAR CODIGOS '!D197</f>
        <v>0</v>
      </c>
      <c r="E197" s="10">
        <f>'MODIFICAR CODIGOS '!E197</f>
        <v>1</v>
      </c>
      <c r="F197" s="220"/>
      <c r="G197" s="147"/>
      <c r="H197" s="147"/>
      <c r="I197" s="147"/>
      <c r="J197" s="147"/>
      <c r="K197" s="219"/>
      <c r="L197" s="220"/>
      <c r="M197" s="147"/>
      <c r="N197" s="147"/>
      <c r="O197" s="219"/>
      <c r="P197" s="143"/>
      <c r="Q197" s="147"/>
      <c r="R197" s="141"/>
      <c r="S197" s="220"/>
      <c r="T197" s="219"/>
      <c r="U197" s="212">
        <f t="shared" si="23"/>
        <v>0</v>
      </c>
      <c r="V197" s="365">
        <f t="shared" si="24"/>
        <v>0</v>
      </c>
      <c r="W197" s="366">
        <f t="shared" si="25"/>
        <v>0</v>
      </c>
      <c r="X197" s="362">
        <f t="shared" si="26"/>
        <v>0</v>
      </c>
      <c r="Y197" s="294">
        <f t="shared" ca="1" si="27"/>
        <v>46104</v>
      </c>
      <c r="Z197" s="375"/>
      <c r="AA197" s="249"/>
      <c r="AB197" s="391">
        <f t="shared" ca="1" si="18"/>
        <v>-46104</v>
      </c>
    </row>
    <row r="198" spans="1:28" s="7" customFormat="1" ht="107.25" hidden="1" customHeight="1" x14ac:dyDescent="1.95">
      <c r="A198" s="10">
        <f>'MODIFICAR CODIGOS '!A198</f>
        <v>0</v>
      </c>
      <c r="B198" s="49">
        <f>'MODIFICAR CODIGOS '!B198</f>
        <v>0</v>
      </c>
      <c r="C198" s="283">
        <f>'MODIFICAR CODIGOS '!C198</f>
        <v>0</v>
      </c>
      <c r="D198" s="10">
        <f>'MODIFICAR CODIGOS '!D198</f>
        <v>0</v>
      </c>
      <c r="E198" s="10">
        <f>'MODIFICAR CODIGOS '!E198</f>
        <v>1</v>
      </c>
      <c r="F198" s="220"/>
      <c r="G198" s="147"/>
      <c r="H198" s="147"/>
      <c r="I198" s="147"/>
      <c r="J198" s="147"/>
      <c r="K198" s="219"/>
      <c r="L198" s="220"/>
      <c r="M198" s="147"/>
      <c r="N198" s="147"/>
      <c r="O198" s="219"/>
      <c r="P198" s="143"/>
      <c r="Q198" s="147"/>
      <c r="R198" s="141"/>
      <c r="S198" s="220"/>
      <c r="T198" s="219"/>
      <c r="U198" s="212">
        <f t="shared" si="23"/>
        <v>0</v>
      </c>
      <c r="V198" s="365">
        <f t="shared" si="24"/>
        <v>0</v>
      </c>
      <c r="W198" s="366">
        <f t="shared" si="25"/>
        <v>0</v>
      </c>
      <c r="X198" s="362">
        <f t="shared" si="26"/>
        <v>0</v>
      </c>
      <c r="Y198" s="294">
        <f t="shared" ca="1" si="27"/>
        <v>46104</v>
      </c>
      <c r="Z198" s="375"/>
      <c r="AA198" s="249"/>
      <c r="AB198" s="391">
        <f t="shared" ca="1" si="18"/>
        <v>-46104</v>
      </c>
    </row>
    <row r="199" spans="1:28" s="7" customFormat="1" ht="107.25" hidden="1" customHeight="1" x14ac:dyDescent="1.95">
      <c r="A199" s="10">
        <f>'MODIFICAR CODIGOS '!A199</f>
        <v>0</v>
      </c>
      <c r="B199" s="49">
        <f>'MODIFICAR CODIGOS '!B199</f>
        <v>0</v>
      </c>
      <c r="C199" s="283">
        <f>'MODIFICAR CODIGOS '!C199</f>
        <v>0</v>
      </c>
      <c r="D199" s="316">
        <f>'MODIFICAR CODIGOS '!D199</f>
        <v>0</v>
      </c>
      <c r="E199" s="10">
        <f>'MODIFICAR CODIGOS '!E199</f>
        <v>1</v>
      </c>
      <c r="F199" s="220"/>
      <c r="G199" s="147"/>
      <c r="H199" s="147"/>
      <c r="I199" s="147"/>
      <c r="J199" s="147"/>
      <c r="K199" s="219"/>
      <c r="L199" s="220"/>
      <c r="M199" s="147"/>
      <c r="N199" s="147"/>
      <c r="O199" s="219"/>
      <c r="P199" s="143"/>
      <c r="Q199" s="147"/>
      <c r="R199" s="141"/>
      <c r="S199" s="220"/>
      <c r="T199" s="219"/>
      <c r="U199" s="212">
        <f t="shared" si="23"/>
        <v>0</v>
      </c>
      <c r="V199" s="365">
        <f t="shared" si="24"/>
        <v>0</v>
      </c>
      <c r="W199" s="366">
        <f t="shared" si="25"/>
        <v>0</v>
      </c>
      <c r="X199" s="362">
        <f t="shared" si="26"/>
        <v>0</v>
      </c>
      <c r="Y199" s="294">
        <f t="shared" ca="1" si="27"/>
        <v>46104</v>
      </c>
      <c r="Z199" s="375"/>
      <c r="AA199" s="249"/>
      <c r="AB199" s="391">
        <f t="shared" ca="1" si="18"/>
        <v>-46104</v>
      </c>
    </row>
    <row r="200" spans="1:28" s="7" customFormat="1" ht="107.4" x14ac:dyDescent="1.95">
      <c r="A200" s="10" t="s">
        <v>396</v>
      </c>
      <c r="B200" s="269"/>
      <c r="C200" s="236"/>
      <c r="D200" s="71"/>
      <c r="E200" s="315"/>
      <c r="F200" s="236"/>
      <c r="G200" s="71"/>
      <c r="H200" s="71"/>
      <c r="I200" s="71"/>
      <c r="J200" s="71"/>
      <c r="K200" s="237"/>
      <c r="L200" s="236"/>
      <c r="M200" s="71"/>
      <c r="N200" s="71"/>
      <c r="O200" s="237"/>
      <c r="P200" s="71"/>
      <c r="Q200" s="71"/>
      <c r="R200" s="71"/>
      <c r="S200" s="236"/>
      <c r="T200" s="71"/>
      <c r="U200" s="348"/>
      <c r="V200" s="365" t="e">
        <f t="shared" si="24"/>
        <v>#DIV/0!</v>
      </c>
      <c r="W200" s="366" t="e">
        <f t="shared" si="25"/>
        <v>#DIV/0!</v>
      </c>
      <c r="X200" s="394"/>
      <c r="Y200" s="395"/>
      <c r="Z200" s="380"/>
      <c r="AA200" s="258"/>
      <c r="AB200" s="391">
        <f t="shared" si="18"/>
        <v>0</v>
      </c>
    </row>
    <row r="201" spans="1:28" s="7" customFormat="1" ht="108" customHeight="1" x14ac:dyDescent="1.95">
      <c r="A201" s="10">
        <f>'MODIFICAR CODIGOS '!A201</f>
        <v>120134</v>
      </c>
      <c r="B201" s="269" t="str">
        <f>'MODIFICAR CODIGOS '!B201</f>
        <v>FRUTAL MORA 188ML</v>
      </c>
      <c r="C201" s="283">
        <f>'MODIFICAR CODIGOS '!C201</f>
        <v>189</v>
      </c>
      <c r="D201" s="317">
        <f>'MODIFICAR CODIGOS '!D201</f>
        <v>21</v>
      </c>
      <c r="E201" s="10">
        <f>'MODIFICAR CODIGOS '!E201</f>
        <v>24</v>
      </c>
      <c r="F201" s="220"/>
      <c r="G201" s="147"/>
      <c r="H201" s="147"/>
      <c r="I201" s="147"/>
      <c r="J201" s="147"/>
      <c r="K201" s="219"/>
      <c r="L201" s="220"/>
      <c r="M201" s="147"/>
      <c r="N201" s="147"/>
      <c r="O201" s="219"/>
      <c r="P201" s="143"/>
      <c r="Q201" s="147">
        <v>22</v>
      </c>
      <c r="R201" s="141"/>
      <c r="S201" s="220">
        <v>15</v>
      </c>
      <c r="T201" s="219"/>
      <c r="U201" s="212">
        <f t="shared" si="23"/>
        <v>22.15</v>
      </c>
      <c r="V201" s="365">
        <f t="shared" si="24"/>
        <v>22</v>
      </c>
      <c r="W201" s="366">
        <f t="shared" si="25"/>
        <v>15</v>
      </c>
      <c r="X201" s="362">
        <f t="shared" si="26"/>
        <v>22.625</v>
      </c>
      <c r="Y201" s="294">
        <f t="shared" ref="Y201:Y249" ca="1" si="28">TODAY()</f>
        <v>46104</v>
      </c>
      <c r="Z201" s="375"/>
      <c r="AA201" s="384"/>
      <c r="AB201" s="391">
        <f t="shared" ca="1" si="18"/>
        <v>-46104</v>
      </c>
    </row>
    <row r="202" spans="1:28" s="7" customFormat="1" ht="108" customHeight="1" x14ac:dyDescent="1.95">
      <c r="A202" s="10">
        <f>'MODIFICAR CODIGOS '!A202</f>
        <v>120137</v>
      </c>
      <c r="B202" s="269" t="str">
        <f>'MODIFICAR CODIGOS '!B202</f>
        <v>DELVALLE FRUTAL MANDARINA - PIÑA</v>
      </c>
      <c r="C202" s="283">
        <f>'MODIFICAR CODIGOS '!C202</f>
        <v>189</v>
      </c>
      <c r="D202" s="10">
        <f>'MODIFICAR CODIGOS '!D202</f>
        <v>21</v>
      </c>
      <c r="E202" s="10">
        <f>'MODIFICAR CODIGOS '!E202</f>
        <v>24</v>
      </c>
      <c r="F202" s="220"/>
      <c r="G202" s="147"/>
      <c r="H202" s="147"/>
      <c r="I202" s="147"/>
      <c r="J202" s="147"/>
      <c r="K202" s="219"/>
      <c r="L202" s="220"/>
      <c r="M202" s="147"/>
      <c r="N202" s="147"/>
      <c r="O202" s="219"/>
      <c r="P202" s="143"/>
      <c r="Q202" s="147"/>
      <c r="R202" s="141"/>
      <c r="S202" s="220"/>
      <c r="T202" s="219"/>
      <c r="U202" s="212">
        <f t="shared" si="23"/>
        <v>0</v>
      </c>
      <c r="V202" s="365">
        <f t="shared" si="24"/>
        <v>0</v>
      </c>
      <c r="W202" s="366">
        <f t="shared" si="25"/>
        <v>0</v>
      </c>
      <c r="X202" s="362">
        <f t="shared" si="26"/>
        <v>0</v>
      </c>
      <c r="Y202" s="294">
        <f t="shared" ca="1" si="28"/>
        <v>46104</v>
      </c>
      <c r="Z202" s="375"/>
      <c r="AA202" s="384"/>
      <c r="AB202" s="391">
        <f t="shared" ca="1" si="18"/>
        <v>-46104</v>
      </c>
    </row>
    <row r="203" spans="1:28" s="7" customFormat="1" ht="108" customHeight="1" x14ac:dyDescent="1.95">
      <c r="A203" s="10">
        <f>'MODIFICAR CODIGOS '!A203</f>
        <v>120136</v>
      </c>
      <c r="B203" s="269" t="str">
        <f>'MODIFICAR CODIGOS '!B203</f>
        <v>DELVALLE FRUTAL MANGO</v>
      </c>
      <c r="C203" s="283">
        <f>'MODIFICAR CODIGOS '!C203</f>
        <v>189</v>
      </c>
      <c r="D203" s="10">
        <f>'MODIFICAR CODIGOS '!D203</f>
        <v>21</v>
      </c>
      <c r="E203" s="10">
        <f>'MODIFICAR CODIGOS '!E203</f>
        <v>24</v>
      </c>
      <c r="F203" s="220"/>
      <c r="G203" s="147"/>
      <c r="H203" s="147"/>
      <c r="I203" s="147"/>
      <c r="J203" s="147"/>
      <c r="K203" s="219"/>
      <c r="L203" s="220"/>
      <c r="M203" s="147"/>
      <c r="N203" s="147"/>
      <c r="O203" s="219"/>
      <c r="P203" s="143"/>
      <c r="Q203" s="147"/>
      <c r="R203" s="141">
        <v>12</v>
      </c>
      <c r="S203" s="220">
        <v>16</v>
      </c>
      <c r="T203" s="219"/>
      <c r="U203" s="212">
        <f t="shared" si="23"/>
        <v>12.16</v>
      </c>
      <c r="V203" s="365">
        <f t="shared" si="24"/>
        <v>12</v>
      </c>
      <c r="W203" s="366">
        <f t="shared" si="25"/>
        <v>16</v>
      </c>
      <c r="X203" s="362">
        <f t="shared" si="26"/>
        <v>12.666666666666666</v>
      </c>
      <c r="Y203" s="294">
        <f t="shared" ca="1" si="28"/>
        <v>46104</v>
      </c>
      <c r="Z203" s="375"/>
      <c r="AA203" s="384"/>
      <c r="AB203" s="391">
        <f t="shared" ca="1" si="18"/>
        <v>-46104</v>
      </c>
    </row>
    <row r="204" spans="1:28" s="7" customFormat="1" ht="108" customHeight="1" x14ac:dyDescent="1.95">
      <c r="A204" s="10">
        <f>'MODIFICAR CODIGOS '!A204</f>
        <v>120133</v>
      </c>
      <c r="B204" s="269" t="str">
        <f>'MODIFICAR CODIGOS '!B204</f>
        <v>FRUTAL MANGOFRS 188 ML TETRA (24)</v>
      </c>
      <c r="C204" s="283">
        <f>'MODIFICAR CODIGOS '!C204</f>
        <v>189</v>
      </c>
      <c r="D204" s="10">
        <f>'MODIFICAR CODIGOS '!D204</f>
        <v>21</v>
      </c>
      <c r="E204" s="10">
        <f>'MODIFICAR CODIGOS '!E204</f>
        <v>24</v>
      </c>
      <c r="F204" s="220"/>
      <c r="G204" s="147"/>
      <c r="H204" s="147"/>
      <c r="I204" s="147"/>
      <c r="J204" s="147"/>
      <c r="K204" s="219"/>
      <c r="L204" s="220"/>
      <c r="M204" s="147"/>
      <c r="N204" s="147"/>
      <c r="O204" s="219"/>
      <c r="P204" s="143"/>
      <c r="Q204" s="147"/>
      <c r="R204" s="141"/>
      <c r="S204" s="220"/>
      <c r="T204" s="219"/>
      <c r="U204" s="212">
        <f t="shared" si="23"/>
        <v>0</v>
      </c>
      <c r="V204" s="365">
        <f t="shared" si="24"/>
        <v>0</v>
      </c>
      <c r="W204" s="366">
        <f t="shared" si="25"/>
        <v>0</v>
      </c>
      <c r="X204" s="362">
        <f t="shared" si="26"/>
        <v>0</v>
      </c>
      <c r="Y204" s="294">
        <f t="shared" ca="1" si="28"/>
        <v>46104</v>
      </c>
      <c r="Z204" s="375"/>
      <c r="AA204" s="384"/>
      <c r="AB204" s="391">
        <f t="shared" ca="1" si="18"/>
        <v>-46104</v>
      </c>
    </row>
    <row r="205" spans="1:28" s="7" customFormat="1" ht="107.4" x14ac:dyDescent="1.95">
      <c r="A205" s="10">
        <f>'MODIFICAR CODIGOS '!A205</f>
        <v>120135</v>
      </c>
      <c r="B205" s="269" t="str">
        <f>'MODIFICAR CODIGOS '!B205</f>
        <v>FRUTAL SALPICON 188 ML TETRA (24)</v>
      </c>
      <c r="C205" s="283">
        <f>'MODIFICAR CODIGOS '!C205</f>
        <v>189</v>
      </c>
      <c r="D205" s="10">
        <f>'MODIFICAR CODIGOS '!D205</f>
        <v>21</v>
      </c>
      <c r="E205" s="10">
        <f>'MODIFICAR CODIGOS '!E205</f>
        <v>24</v>
      </c>
      <c r="F205" s="220"/>
      <c r="G205" s="147"/>
      <c r="H205" s="147"/>
      <c r="I205" s="147"/>
      <c r="J205" s="147"/>
      <c r="K205" s="219"/>
      <c r="L205" s="220"/>
      <c r="M205" s="147"/>
      <c r="N205" s="147"/>
      <c r="O205" s="219"/>
      <c r="P205" s="143"/>
      <c r="Q205" s="147"/>
      <c r="R205" s="141"/>
      <c r="S205" s="220"/>
      <c r="T205" s="219"/>
      <c r="U205" s="212">
        <f t="shared" si="23"/>
        <v>0</v>
      </c>
      <c r="V205" s="365">
        <f t="shared" si="24"/>
        <v>0</v>
      </c>
      <c r="W205" s="366">
        <f t="shared" si="25"/>
        <v>0</v>
      </c>
      <c r="X205" s="362">
        <f t="shared" si="26"/>
        <v>0</v>
      </c>
      <c r="Y205" s="294">
        <f t="shared" ca="1" si="28"/>
        <v>46104</v>
      </c>
      <c r="Z205" s="375"/>
      <c r="AA205" s="384"/>
      <c r="AB205" s="391">
        <f t="shared" ca="1" si="18"/>
        <v>-46104</v>
      </c>
    </row>
    <row r="206" spans="1:28" s="7" customFormat="1" ht="107.25" hidden="1" customHeight="1" x14ac:dyDescent="1.95">
      <c r="A206" s="10">
        <f>'MODIFICAR CODIGOS '!A206</f>
        <v>0</v>
      </c>
      <c r="B206" s="49">
        <f>'MODIFICAR CODIGOS '!B206</f>
        <v>0</v>
      </c>
      <c r="C206" s="283">
        <f>'MODIFICAR CODIGOS '!C206</f>
        <v>0</v>
      </c>
      <c r="D206" s="316">
        <f>'MODIFICAR CODIGOS '!D206</f>
        <v>0</v>
      </c>
      <c r="E206" s="10">
        <f>'MODIFICAR CODIGOS '!E206</f>
        <v>1</v>
      </c>
      <c r="F206" s="220"/>
      <c r="G206" s="147"/>
      <c r="H206" s="147"/>
      <c r="I206" s="147"/>
      <c r="J206" s="147"/>
      <c r="K206" s="219"/>
      <c r="L206" s="220"/>
      <c r="M206" s="147"/>
      <c r="N206" s="147"/>
      <c r="O206" s="219"/>
      <c r="P206" s="143"/>
      <c r="Q206" s="147"/>
      <c r="R206" s="141"/>
      <c r="S206" s="220"/>
      <c r="T206" s="219"/>
      <c r="U206" s="212">
        <f t="shared" si="23"/>
        <v>0</v>
      </c>
      <c r="V206" s="365">
        <f t="shared" si="24"/>
        <v>0</v>
      </c>
      <c r="W206" s="366">
        <f t="shared" si="25"/>
        <v>0</v>
      </c>
      <c r="X206" s="362">
        <f t="shared" si="26"/>
        <v>0</v>
      </c>
      <c r="Y206" s="294">
        <f t="shared" ca="1" si="28"/>
        <v>46104</v>
      </c>
      <c r="Z206" s="375"/>
      <c r="AA206" s="249"/>
      <c r="AB206" s="391">
        <f t="shared" ca="1" si="18"/>
        <v>-46104</v>
      </c>
    </row>
    <row r="207" spans="1:28" s="7" customFormat="1" ht="108" customHeight="1" x14ac:dyDescent="1.95">
      <c r="A207" s="10" t="s">
        <v>396</v>
      </c>
      <c r="B207" s="269"/>
      <c r="C207" s="236"/>
      <c r="D207" s="71"/>
      <c r="E207" s="315"/>
      <c r="F207" s="221"/>
      <c r="G207" s="151"/>
      <c r="H207" s="151"/>
      <c r="I207" s="151"/>
      <c r="J207" s="151"/>
      <c r="K207" s="222"/>
      <c r="L207" s="221"/>
      <c r="M207" s="151"/>
      <c r="N207" s="151"/>
      <c r="O207" s="222"/>
      <c r="P207" s="151"/>
      <c r="Q207" s="151"/>
      <c r="R207" s="151"/>
      <c r="S207" s="221"/>
      <c r="T207" s="151"/>
      <c r="U207" s="348"/>
      <c r="V207" s="365" t="e">
        <f t="shared" si="24"/>
        <v>#DIV/0!</v>
      </c>
      <c r="W207" s="366" t="e">
        <f t="shared" si="25"/>
        <v>#DIV/0!</v>
      </c>
      <c r="X207" s="394"/>
      <c r="Y207" s="395"/>
      <c r="Z207" s="376"/>
      <c r="AA207" s="250"/>
      <c r="AB207" s="391">
        <f t="shared" si="18"/>
        <v>0</v>
      </c>
    </row>
    <row r="208" spans="1:28" s="7" customFormat="1" ht="108" customHeight="1" x14ac:dyDescent="1.95">
      <c r="A208" s="10">
        <f>'MODIFICAR CODIGOS '!A208</f>
        <v>120188</v>
      </c>
      <c r="B208" s="269" t="str">
        <f>'MODIFICAR CODIGOS '!B208</f>
        <v>FRUTAL MANGO 1.2L PET (6)</v>
      </c>
      <c r="C208" s="283">
        <f>'MODIFICAR CODIGOS '!C208</f>
        <v>1</v>
      </c>
      <c r="D208" s="317">
        <f>'MODIFICAR CODIGOS '!D208</f>
        <v>28</v>
      </c>
      <c r="E208" s="49">
        <f>'MODIFICAR CODIGOS '!E208</f>
        <v>6</v>
      </c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>
        <v>15</v>
      </c>
      <c r="R208" s="147"/>
      <c r="S208" s="147"/>
      <c r="T208" s="147"/>
      <c r="U208" s="212">
        <f t="shared" si="23"/>
        <v>15</v>
      </c>
      <c r="V208" s="365">
        <f t="shared" si="24"/>
        <v>15</v>
      </c>
      <c r="W208" s="366">
        <f t="shared" si="25"/>
        <v>0</v>
      </c>
      <c r="X208" s="362">
        <f t="shared" si="26"/>
        <v>15</v>
      </c>
      <c r="Y208" s="294">
        <f t="shared" ca="1" si="28"/>
        <v>46104</v>
      </c>
      <c r="Z208" s="349"/>
      <c r="AA208" s="384"/>
      <c r="AB208" s="391">
        <f t="shared" ca="1" si="18"/>
        <v>-46104</v>
      </c>
    </row>
    <row r="209" spans="1:28" s="7" customFormat="1" ht="108" customHeight="1" x14ac:dyDescent="1.95">
      <c r="A209" s="10">
        <f>'MODIFICAR CODIGOS '!A209</f>
        <v>120190</v>
      </c>
      <c r="B209" s="269" t="str">
        <f>'MODIFICAR CODIGOS '!B209</f>
        <v>FRUTAL MANGOFRS 1.2LT PET(6)</v>
      </c>
      <c r="C209" s="283">
        <f>'MODIFICAR CODIGOS '!C209</f>
        <v>1</v>
      </c>
      <c r="D209" s="317">
        <f>'MODIFICAR CODIGOS '!D209</f>
        <v>28</v>
      </c>
      <c r="E209" s="49">
        <f>'MODIFICAR CODIGOS '!E209</f>
        <v>6</v>
      </c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>
        <v>8</v>
      </c>
      <c r="S209" s="147">
        <v>2</v>
      </c>
      <c r="T209" s="147">
        <v>1</v>
      </c>
      <c r="U209" s="212">
        <f t="shared" si="23"/>
        <v>8.0299999999999994</v>
      </c>
      <c r="V209" s="365">
        <f t="shared" si="24"/>
        <v>8</v>
      </c>
      <c r="W209" s="366">
        <f t="shared" si="25"/>
        <v>3</v>
      </c>
      <c r="X209" s="362">
        <f t="shared" si="26"/>
        <v>8.5</v>
      </c>
      <c r="Y209" s="294">
        <f t="shared" ca="1" si="28"/>
        <v>46104</v>
      </c>
      <c r="Z209" s="349"/>
      <c r="AA209" s="384"/>
      <c r="AB209" s="391">
        <f t="shared" ca="1" si="18"/>
        <v>-46104</v>
      </c>
    </row>
    <row r="210" spans="1:28" s="7" customFormat="1" ht="108" customHeight="1" x14ac:dyDescent="1.95">
      <c r="A210" s="10">
        <f>'MODIFICAR CODIGOS '!A210</f>
        <v>120191</v>
      </c>
      <c r="B210" s="269" t="str">
        <f>'MODIFICAR CODIGOS '!B210</f>
        <v>FRUTAL MORA 1.2LT PET(6)</v>
      </c>
      <c r="C210" s="283">
        <f>'MODIFICAR CODIGOS '!C210</f>
        <v>1</v>
      </c>
      <c r="D210" s="317">
        <f>'MODIFICAR CODIGOS '!D210</f>
        <v>28</v>
      </c>
      <c r="E210" s="49">
        <f>'MODIFICAR CODIGOS '!E210</f>
        <v>6</v>
      </c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>
        <v>2</v>
      </c>
      <c r="R210" s="147"/>
      <c r="S210" s="147">
        <v>5</v>
      </c>
      <c r="T210" s="147"/>
      <c r="U210" s="212">
        <f t="shared" si="23"/>
        <v>2.0499999999999998</v>
      </c>
      <c r="V210" s="365">
        <f t="shared" si="24"/>
        <v>2</v>
      </c>
      <c r="W210" s="366">
        <f t="shared" si="25"/>
        <v>5</v>
      </c>
      <c r="X210" s="362">
        <f t="shared" si="26"/>
        <v>2.8333333333333335</v>
      </c>
      <c r="Y210" s="294">
        <f t="shared" ca="1" si="28"/>
        <v>46104</v>
      </c>
      <c r="Z210" s="349"/>
      <c r="AA210" s="384"/>
      <c r="AB210" s="391">
        <f t="shared" ca="1" si="18"/>
        <v>-46104</v>
      </c>
    </row>
    <row r="211" spans="1:28" s="7" customFormat="1" ht="108" hidden="1" customHeight="1" x14ac:dyDescent="1.95">
      <c r="A211" s="10">
        <f>'MODIFICAR CODIGOS '!A211</f>
        <v>0</v>
      </c>
      <c r="B211" s="269">
        <f>'MODIFICAR CODIGOS '!B211</f>
        <v>0</v>
      </c>
      <c r="C211" s="283">
        <f>'MODIFICAR CODIGOS '!C211</f>
        <v>0</v>
      </c>
      <c r="D211" s="317">
        <f>'MODIFICAR CODIGOS '!D211</f>
        <v>0</v>
      </c>
      <c r="E211" s="10">
        <f>'MODIFICAR CODIGOS '!E211</f>
        <v>6</v>
      </c>
      <c r="F211" s="220"/>
      <c r="G211" s="147"/>
      <c r="H211" s="147"/>
      <c r="I211" s="147"/>
      <c r="J211" s="147"/>
      <c r="K211" s="219"/>
      <c r="L211" s="220"/>
      <c r="M211" s="147"/>
      <c r="N211" s="147"/>
      <c r="O211" s="219"/>
      <c r="P211" s="143"/>
      <c r="Q211" s="147"/>
      <c r="R211" s="141"/>
      <c r="S211" s="220"/>
      <c r="T211" s="219"/>
      <c r="U211" s="212">
        <f t="shared" si="23"/>
        <v>0</v>
      </c>
      <c r="V211" s="365">
        <f t="shared" si="24"/>
        <v>0</v>
      </c>
      <c r="W211" s="366">
        <f t="shared" si="25"/>
        <v>0</v>
      </c>
      <c r="X211" s="362">
        <f t="shared" si="26"/>
        <v>0</v>
      </c>
      <c r="Y211" s="294">
        <f t="shared" ca="1" si="28"/>
        <v>46104</v>
      </c>
      <c r="Z211" s="375"/>
      <c r="AA211" s="384"/>
      <c r="AB211" s="391">
        <f t="shared" ca="1" si="18"/>
        <v>-46104</v>
      </c>
    </row>
    <row r="212" spans="1:28" s="7" customFormat="1" ht="108" hidden="1" customHeight="1" x14ac:dyDescent="1.95">
      <c r="A212" s="10">
        <f>'MODIFICAR CODIGOS '!A212</f>
        <v>0</v>
      </c>
      <c r="B212" s="269">
        <f>'MODIFICAR CODIGOS '!B212</f>
        <v>0</v>
      </c>
      <c r="C212" s="283">
        <f>'MODIFICAR CODIGOS '!C212</f>
        <v>0</v>
      </c>
      <c r="D212" s="10">
        <f>'MODIFICAR CODIGOS '!D212</f>
        <v>0</v>
      </c>
      <c r="E212" s="10">
        <f>'MODIFICAR CODIGOS '!E212</f>
        <v>6</v>
      </c>
      <c r="F212" s="220"/>
      <c r="G212" s="147"/>
      <c r="H212" s="147"/>
      <c r="I212" s="147"/>
      <c r="J212" s="147"/>
      <c r="K212" s="219"/>
      <c r="L212" s="220"/>
      <c r="M212" s="147"/>
      <c r="N212" s="147"/>
      <c r="O212" s="219"/>
      <c r="P212" s="143"/>
      <c r="Q212" s="147"/>
      <c r="R212" s="141"/>
      <c r="S212" s="220"/>
      <c r="T212" s="219"/>
      <c r="U212" s="212">
        <f t="shared" si="23"/>
        <v>0</v>
      </c>
      <c r="V212" s="365">
        <f t="shared" si="24"/>
        <v>0</v>
      </c>
      <c r="W212" s="366">
        <f t="shared" si="25"/>
        <v>0</v>
      </c>
      <c r="X212" s="362">
        <f t="shared" si="26"/>
        <v>0</v>
      </c>
      <c r="Y212" s="294">
        <f t="shared" ca="1" si="28"/>
        <v>46104</v>
      </c>
      <c r="Z212" s="375"/>
      <c r="AA212" s="384"/>
      <c r="AB212" s="391">
        <f t="shared" ca="1" si="18"/>
        <v>-46104</v>
      </c>
    </row>
    <row r="213" spans="1:28" s="7" customFormat="1" ht="108" hidden="1" customHeight="1" x14ac:dyDescent="1.95">
      <c r="A213" s="10">
        <f>'MODIFICAR CODIGOS '!A213</f>
        <v>0</v>
      </c>
      <c r="B213" s="269">
        <f>'MODIFICAR CODIGOS '!B213</f>
        <v>0</v>
      </c>
      <c r="C213" s="283">
        <f>'MODIFICAR CODIGOS '!C213</f>
        <v>0</v>
      </c>
      <c r="D213" s="10">
        <f>'MODIFICAR CODIGOS '!D213</f>
        <v>0</v>
      </c>
      <c r="E213" s="10">
        <f>'MODIFICAR CODIGOS '!E213</f>
        <v>6</v>
      </c>
      <c r="F213" s="220"/>
      <c r="G213" s="147"/>
      <c r="H213" s="147"/>
      <c r="I213" s="147"/>
      <c r="J213" s="147"/>
      <c r="K213" s="219"/>
      <c r="L213" s="220"/>
      <c r="M213" s="147"/>
      <c r="N213" s="147"/>
      <c r="O213" s="219"/>
      <c r="P213" s="143"/>
      <c r="Q213" s="147"/>
      <c r="R213" s="141"/>
      <c r="S213" s="220"/>
      <c r="T213" s="219"/>
      <c r="U213" s="212">
        <f t="shared" si="23"/>
        <v>0</v>
      </c>
      <c r="V213" s="365">
        <f t="shared" si="24"/>
        <v>0</v>
      </c>
      <c r="W213" s="366">
        <f t="shared" si="25"/>
        <v>0</v>
      </c>
      <c r="X213" s="362">
        <f t="shared" si="26"/>
        <v>0</v>
      </c>
      <c r="Y213" s="294">
        <f t="shared" ca="1" si="28"/>
        <v>46104</v>
      </c>
      <c r="Z213" s="375"/>
      <c r="AA213" s="384"/>
      <c r="AB213" s="391">
        <f t="shared" ca="1" si="18"/>
        <v>-46104</v>
      </c>
    </row>
    <row r="214" spans="1:28" s="7" customFormat="1" ht="108" hidden="1" customHeight="1" x14ac:dyDescent="1.95">
      <c r="A214" s="10">
        <f>'MODIFICAR CODIGOS '!A214</f>
        <v>0</v>
      </c>
      <c r="B214" s="269">
        <f>'MODIFICAR CODIGOS '!B214</f>
        <v>0</v>
      </c>
      <c r="C214" s="283">
        <f>'MODIFICAR CODIGOS '!C214</f>
        <v>0</v>
      </c>
      <c r="D214" s="10">
        <f>'MODIFICAR CODIGOS '!D214</f>
        <v>0</v>
      </c>
      <c r="E214" s="10">
        <f>'MODIFICAR CODIGOS '!E214</f>
        <v>6</v>
      </c>
      <c r="F214" s="220"/>
      <c r="G214" s="147"/>
      <c r="H214" s="147"/>
      <c r="I214" s="147"/>
      <c r="J214" s="147"/>
      <c r="K214" s="219"/>
      <c r="L214" s="220"/>
      <c r="M214" s="147"/>
      <c r="N214" s="147"/>
      <c r="O214" s="219"/>
      <c r="P214" s="143"/>
      <c r="Q214" s="147"/>
      <c r="R214" s="141"/>
      <c r="S214" s="220"/>
      <c r="T214" s="219"/>
      <c r="U214" s="212">
        <f t="shared" si="23"/>
        <v>0</v>
      </c>
      <c r="V214" s="365">
        <f t="shared" si="24"/>
        <v>0</v>
      </c>
      <c r="W214" s="366">
        <f t="shared" si="25"/>
        <v>0</v>
      </c>
      <c r="X214" s="362">
        <f t="shared" si="26"/>
        <v>0</v>
      </c>
      <c r="Y214" s="294">
        <f t="shared" ca="1" si="28"/>
        <v>46104</v>
      </c>
      <c r="Z214" s="375"/>
      <c r="AA214" s="384"/>
      <c r="AB214" s="391">
        <f t="shared" ca="1" si="18"/>
        <v>-46104</v>
      </c>
    </row>
    <row r="215" spans="1:28" s="7" customFormat="1" ht="108" hidden="1" customHeight="1" x14ac:dyDescent="1.95">
      <c r="A215" s="10">
        <f>'MODIFICAR CODIGOS '!A215</f>
        <v>0</v>
      </c>
      <c r="B215" s="269">
        <f>'MODIFICAR CODIGOS '!B215</f>
        <v>0</v>
      </c>
      <c r="C215" s="283">
        <f>'MODIFICAR CODIGOS '!C215</f>
        <v>0</v>
      </c>
      <c r="D215" s="316">
        <f>'MODIFICAR CODIGOS '!D215</f>
        <v>0</v>
      </c>
      <c r="E215" s="10">
        <f>'MODIFICAR CODIGOS '!E215</f>
        <v>6</v>
      </c>
      <c r="F215" s="220"/>
      <c r="G215" s="147"/>
      <c r="H215" s="147"/>
      <c r="I215" s="147"/>
      <c r="J215" s="147"/>
      <c r="K215" s="219"/>
      <c r="L215" s="220"/>
      <c r="M215" s="147"/>
      <c r="N215" s="147"/>
      <c r="O215" s="219"/>
      <c r="P215" s="143"/>
      <c r="Q215" s="147"/>
      <c r="R215" s="141"/>
      <c r="S215" s="220"/>
      <c r="T215" s="219"/>
      <c r="U215" s="212">
        <f t="shared" si="23"/>
        <v>0</v>
      </c>
      <c r="V215" s="365">
        <f t="shared" si="24"/>
        <v>0</v>
      </c>
      <c r="W215" s="366">
        <f t="shared" si="25"/>
        <v>0</v>
      </c>
      <c r="X215" s="362">
        <f t="shared" si="26"/>
        <v>0</v>
      </c>
      <c r="Y215" s="294">
        <f t="shared" ca="1" si="28"/>
        <v>46104</v>
      </c>
      <c r="Z215" s="375"/>
      <c r="AA215" s="384"/>
      <c r="AB215" s="391">
        <f t="shared" ca="1" si="18"/>
        <v>-46104</v>
      </c>
    </row>
    <row r="216" spans="1:28" s="7" customFormat="1" ht="108" customHeight="1" x14ac:dyDescent="1.95">
      <c r="A216" s="10" t="s">
        <v>396</v>
      </c>
      <c r="B216" s="49"/>
      <c r="C216" s="236"/>
      <c r="D216" s="71"/>
      <c r="E216" s="315"/>
      <c r="F216" s="238"/>
      <c r="G216" s="151"/>
      <c r="H216" s="151"/>
      <c r="I216" s="151"/>
      <c r="J216" s="151"/>
      <c r="K216" s="222"/>
      <c r="L216" s="221"/>
      <c r="M216" s="151"/>
      <c r="N216" s="151"/>
      <c r="O216" s="222"/>
      <c r="P216" s="151"/>
      <c r="Q216" s="151"/>
      <c r="R216" s="151"/>
      <c r="S216" s="221"/>
      <c r="T216" s="151"/>
      <c r="U216" s="348"/>
      <c r="V216" s="365" t="e">
        <f t="shared" si="24"/>
        <v>#DIV/0!</v>
      </c>
      <c r="W216" s="366" t="e">
        <f t="shared" si="25"/>
        <v>#DIV/0!</v>
      </c>
      <c r="X216" s="394"/>
      <c r="Y216" s="395"/>
      <c r="Z216" s="376"/>
      <c r="AA216" s="250"/>
      <c r="AB216" s="391">
        <f t="shared" si="18"/>
        <v>0</v>
      </c>
    </row>
    <row r="217" spans="1:28" s="7" customFormat="1" ht="108" hidden="1" customHeight="1" x14ac:dyDescent="1.95">
      <c r="A217" s="10">
        <f>'MODIFICAR CODIGOS '!A217</f>
        <v>0</v>
      </c>
      <c r="B217" s="49">
        <f>'MODIFICAR CODIGOS '!B217</f>
        <v>0</v>
      </c>
      <c r="C217" s="283">
        <f>'MODIFICAR CODIGOS '!C217</f>
        <v>0</v>
      </c>
      <c r="D217" s="317">
        <f>'MODIFICAR CODIGOS '!D217</f>
        <v>0</v>
      </c>
      <c r="E217" s="10">
        <f>'MODIFICAR CODIGOS '!E217</f>
        <v>12</v>
      </c>
      <c r="F217" s="220"/>
      <c r="G217" s="147"/>
      <c r="H217" s="147"/>
      <c r="I217" s="147"/>
      <c r="J217" s="147"/>
      <c r="K217" s="219"/>
      <c r="L217" s="220"/>
      <c r="M217" s="147"/>
      <c r="N217" s="147"/>
      <c r="O217" s="219"/>
      <c r="P217" s="143"/>
      <c r="Q217" s="147"/>
      <c r="R217" s="141"/>
      <c r="S217" s="220"/>
      <c r="T217" s="219"/>
      <c r="U217" s="212">
        <f t="shared" si="23"/>
        <v>0</v>
      </c>
      <c r="V217" s="365">
        <f t="shared" si="24"/>
        <v>0</v>
      </c>
      <c r="W217" s="366">
        <f t="shared" si="25"/>
        <v>0</v>
      </c>
      <c r="X217" s="362">
        <f t="shared" si="26"/>
        <v>0</v>
      </c>
      <c r="Y217" s="294">
        <f t="shared" ca="1" si="28"/>
        <v>46104</v>
      </c>
      <c r="Z217" s="375"/>
      <c r="AA217" s="384"/>
      <c r="AB217" s="391">
        <f t="shared" ref="AB217:AB280" ca="1" si="29">AA217-Y217</f>
        <v>-46104</v>
      </c>
    </row>
    <row r="218" spans="1:28" s="7" customFormat="1" ht="107.4" x14ac:dyDescent="1.95">
      <c r="A218" s="10">
        <f>'MODIFICAR CODIGOS '!A218</f>
        <v>135766</v>
      </c>
      <c r="B218" s="269" t="str">
        <f>'MODIFICAR CODIGOS '!B218</f>
        <v>COCA-COLA ZERO 10 OZ  (12)  (Ch</v>
      </c>
      <c r="C218" s="283">
        <f>'MODIFICAR CODIGOS '!C218</f>
        <v>208</v>
      </c>
      <c r="D218" s="10">
        <f>'MODIFICAR CODIGOS '!D218</f>
        <v>26</v>
      </c>
      <c r="E218" s="10">
        <f>'MODIFICAR CODIGOS '!E218</f>
        <v>12</v>
      </c>
      <c r="F218" s="220"/>
      <c r="G218" s="147"/>
      <c r="H218" s="147"/>
      <c r="I218" s="147"/>
      <c r="J218" s="147"/>
      <c r="K218" s="219"/>
      <c r="L218" s="220"/>
      <c r="M218" s="147"/>
      <c r="N218" s="147"/>
      <c r="O218" s="219"/>
      <c r="P218" s="143"/>
      <c r="Q218" s="147">
        <v>2</v>
      </c>
      <c r="R218" s="141"/>
      <c r="S218" s="220">
        <v>6</v>
      </c>
      <c r="T218" s="219"/>
      <c r="U218" s="212">
        <f t="shared" si="23"/>
        <v>2.06</v>
      </c>
      <c r="V218" s="365">
        <f t="shared" si="24"/>
        <v>2</v>
      </c>
      <c r="W218" s="366">
        <f t="shared" si="25"/>
        <v>6</v>
      </c>
      <c r="X218" s="362">
        <f t="shared" si="26"/>
        <v>2.5</v>
      </c>
      <c r="Y218" s="294">
        <f t="shared" ca="1" si="28"/>
        <v>46104</v>
      </c>
      <c r="Z218" s="375"/>
      <c r="AA218" s="384"/>
      <c r="AB218" s="391">
        <f t="shared" ca="1" si="29"/>
        <v>-46104</v>
      </c>
    </row>
    <row r="219" spans="1:28" s="7" customFormat="1" ht="107.4" hidden="1" x14ac:dyDescent="1.95">
      <c r="A219" s="10">
        <f>'MODIFICAR CODIGOS '!A219</f>
        <v>0</v>
      </c>
      <c r="B219" s="49">
        <f>'MODIFICAR CODIGOS '!B219</f>
        <v>0</v>
      </c>
      <c r="C219" s="283">
        <f>'MODIFICAR CODIGOS '!C219</f>
        <v>0</v>
      </c>
      <c r="D219" s="10">
        <f>'MODIFICAR CODIGOS '!D219</f>
        <v>0</v>
      </c>
      <c r="E219" s="10">
        <f>'MODIFICAR CODIGOS '!E219</f>
        <v>1</v>
      </c>
      <c r="F219" s="220"/>
      <c r="G219" s="147"/>
      <c r="H219" s="147"/>
      <c r="I219" s="147"/>
      <c r="J219" s="147"/>
      <c r="K219" s="219"/>
      <c r="L219" s="220"/>
      <c r="M219" s="147"/>
      <c r="N219" s="147"/>
      <c r="O219" s="219"/>
      <c r="P219" s="143"/>
      <c r="Q219" s="147"/>
      <c r="R219" s="141"/>
      <c r="S219" s="220"/>
      <c r="T219" s="219"/>
      <c r="U219" s="212">
        <f t="shared" si="23"/>
        <v>0</v>
      </c>
      <c r="V219" s="365">
        <f t="shared" si="24"/>
        <v>0</v>
      </c>
      <c r="W219" s="366">
        <f t="shared" si="25"/>
        <v>0</v>
      </c>
      <c r="X219" s="362">
        <f t="shared" si="26"/>
        <v>0</v>
      </c>
      <c r="Y219" s="294">
        <f t="shared" ca="1" si="28"/>
        <v>46104</v>
      </c>
      <c r="Z219" s="375"/>
      <c r="AA219" s="249"/>
      <c r="AB219" s="391">
        <f t="shared" ca="1" si="29"/>
        <v>-46104</v>
      </c>
    </row>
    <row r="220" spans="1:28" s="7" customFormat="1" ht="108" customHeight="1" x14ac:dyDescent="1.95">
      <c r="A220" s="10">
        <f>'MODIFICAR CODIGOS '!A220</f>
        <v>56498</v>
      </c>
      <c r="B220" s="269" t="str">
        <f>'MODIFICAR CODIGOS '!B220</f>
        <v>SCHWEPPES SODA 10OZ VNR(12)NvaB</v>
      </c>
      <c r="C220" s="283">
        <f>'MODIFICAR CODIGOS '!C220</f>
        <v>176</v>
      </c>
      <c r="D220" s="10">
        <f>'MODIFICAR CODIGOS '!D220</f>
        <v>22</v>
      </c>
      <c r="E220" s="10">
        <f>'MODIFICAR CODIGOS '!E220</f>
        <v>12</v>
      </c>
      <c r="F220" s="220"/>
      <c r="G220" s="147"/>
      <c r="H220" s="147"/>
      <c r="I220" s="147"/>
      <c r="J220" s="147"/>
      <c r="K220" s="219"/>
      <c r="L220" s="220"/>
      <c r="M220" s="147"/>
      <c r="N220" s="147"/>
      <c r="O220" s="219"/>
      <c r="P220" s="143"/>
      <c r="Q220" s="147">
        <v>5</v>
      </c>
      <c r="R220" s="141"/>
      <c r="S220" s="220">
        <v>9</v>
      </c>
      <c r="T220" s="219"/>
      <c r="U220" s="212">
        <f t="shared" si="23"/>
        <v>5.09</v>
      </c>
      <c r="V220" s="365">
        <f t="shared" si="24"/>
        <v>5</v>
      </c>
      <c r="W220" s="366">
        <f t="shared" si="25"/>
        <v>9</v>
      </c>
      <c r="X220" s="362">
        <f t="shared" si="26"/>
        <v>5.75</v>
      </c>
      <c r="Y220" s="294">
        <f t="shared" ca="1" si="28"/>
        <v>46104</v>
      </c>
      <c r="Z220" s="375"/>
      <c r="AA220" s="384"/>
      <c r="AB220" s="391">
        <f t="shared" ca="1" si="29"/>
        <v>-46104</v>
      </c>
    </row>
    <row r="221" spans="1:28" s="7" customFormat="1" ht="108" customHeight="1" x14ac:dyDescent="1.95">
      <c r="A221" s="10">
        <f>'MODIFICAR CODIGOS '!A221</f>
        <v>56490</v>
      </c>
      <c r="B221" s="269" t="str">
        <f>'MODIFICAR CODIGOS '!B221</f>
        <v>SCHWEPPES TONICA 10OZ VNR (12)</v>
      </c>
      <c r="C221" s="283">
        <f>'MODIFICAR CODIGOS '!C221</f>
        <v>176</v>
      </c>
      <c r="D221" s="10">
        <f>'MODIFICAR CODIGOS '!D221</f>
        <v>22</v>
      </c>
      <c r="E221" s="10">
        <f>'MODIFICAR CODIGOS '!E221</f>
        <v>12</v>
      </c>
      <c r="F221" s="220"/>
      <c r="G221" s="147"/>
      <c r="H221" s="147"/>
      <c r="I221" s="147"/>
      <c r="J221" s="147"/>
      <c r="K221" s="219"/>
      <c r="L221" s="220"/>
      <c r="M221" s="147"/>
      <c r="N221" s="147"/>
      <c r="O221" s="219"/>
      <c r="P221" s="143"/>
      <c r="Q221" s="147"/>
      <c r="R221" s="141"/>
      <c r="S221" s="220">
        <v>6</v>
      </c>
      <c r="T221" s="219"/>
      <c r="U221" s="212">
        <f t="shared" si="23"/>
        <v>0.06</v>
      </c>
      <c r="V221" s="365">
        <f t="shared" si="24"/>
        <v>0</v>
      </c>
      <c r="W221" s="366">
        <f t="shared" si="25"/>
        <v>6</v>
      </c>
      <c r="X221" s="362">
        <f t="shared" si="26"/>
        <v>0.5</v>
      </c>
      <c r="Y221" s="294">
        <f t="shared" ca="1" si="28"/>
        <v>46104</v>
      </c>
      <c r="Z221" s="375"/>
      <c r="AA221" s="384"/>
      <c r="AB221" s="391">
        <f t="shared" ca="1" si="29"/>
        <v>-46104</v>
      </c>
    </row>
    <row r="222" spans="1:28" s="7" customFormat="1" ht="108" hidden="1" customHeight="1" x14ac:dyDescent="1.95">
      <c r="A222" s="10">
        <f>'MODIFICAR CODIGOS '!A222</f>
        <v>0</v>
      </c>
      <c r="B222" s="49">
        <f>'MODIFICAR CODIGOS '!B222</f>
        <v>0</v>
      </c>
      <c r="C222" s="283">
        <f>'MODIFICAR CODIGOS '!C222</f>
        <v>0</v>
      </c>
      <c r="D222" s="10">
        <f>'MODIFICAR CODIGOS '!D222</f>
        <v>0</v>
      </c>
      <c r="E222" s="10">
        <f>'MODIFICAR CODIGOS '!E222</f>
        <v>1</v>
      </c>
      <c r="F222" s="220"/>
      <c r="G222" s="147"/>
      <c r="H222" s="147"/>
      <c r="I222" s="147"/>
      <c r="J222" s="147"/>
      <c r="K222" s="219"/>
      <c r="L222" s="220"/>
      <c r="M222" s="147"/>
      <c r="N222" s="147"/>
      <c r="O222" s="219"/>
      <c r="P222" s="143"/>
      <c r="Q222" s="147"/>
      <c r="R222" s="141"/>
      <c r="S222" s="220"/>
      <c r="T222" s="219"/>
      <c r="U222" s="212">
        <f t="shared" si="23"/>
        <v>0</v>
      </c>
      <c r="V222" s="365">
        <f t="shared" si="24"/>
        <v>0</v>
      </c>
      <c r="W222" s="366">
        <f t="shared" si="25"/>
        <v>0</v>
      </c>
      <c r="X222" s="362">
        <f t="shared" si="26"/>
        <v>0</v>
      </c>
      <c r="Y222" s="294">
        <f t="shared" ca="1" si="28"/>
        <v>46104</v>
      </c>
      <c r="Z222" s="375"/>
      <c r="AA222" s="249"/>
      <c r="AB222" s="391">
        <f t="shared" ca="1" si="29"/>
        <v>-46104</v>
      </c>
    </row>
    <row r="223" spans="1:28" s="7" customFormat="1" ht="108" customHeight="1" x14ac:dyDescent="1.95">
      <c r="A223" s="10">
        <f>'MODIFICAR CODIGOS '!A223</f>
        <v>160192</v>
      </c>
      <c r="B223" s="269" t="str">
        <f>'MODIFICAR CODIGOS '!B223</f>
        <v xml:space="preserve">COCA COLA 10 OZ VNR (12) SPMKS </v>
      </c>
      <c r="C223" s="283">
        <f>'MODIFICAR CODIGOS '!C223</f>
        <v>208</v>
      </c>
      <c r="D223" s="316">
        <f>'MODIFICAR CODIGOS '!D223</f>
        <v>26</v>
      </c>
      <c r="E223" s="10">
        <f>'MODIFICAR CODIGOS '!E223</f>
        <v>12</v>
      </c>
      <c r="F223" s="220"/>
      <c r="G223" s="147"/>
      <c r="H223" s="147"/>
      <c r="I223" s="147"/>
      <c r="J223" s="147"/>
      <c r="K223" s="219"/>
      <c r="L223" s="220"/>
      <c r="M223" s="147"/>
      <c r="N223" s="147"/>
      <c r="O223" s="219"/>
      <c r="P223" s="143"/>
      <c r="Q223" s="147">
        <v>8</v>
      </c>
      <c r="R223" s="141"/>
      <c r="S223" s="220"/>
      <c r="T223" s="219"/>
      <c r="U223" s="212">
        <f t="shared" si="23"/>
        <v>8</v>
      </c>
      <c r="V223" s="365">
        <f t="shared" si="24"/>
        <v>8</v>
      </c>
      <c r="W223" s="366">
        <f t="shared" si="25"/>
        <v>0</v>
      </c>
      <c r="X223" s="362">
        <f t="shared" si="26"/>
        <v>8</v>
      </c>
      <c r="Y223" s="294">
        <f t="shared" ca="1" si="28"/>
        <v>46104</v>
      </c>
      <c r="Z223" s="375"/>
      <c r="AA223" s="384"/>
      <c r="AB223" s="391">
        <f t="shared" ca="1" si="29"/>
        <v>-46104</v>
      </c>
    </row>
    <row r="224" spans="1:28" s="7" customFormat="1" ht="108" customHeight="1" x14ac:dyDescent="1.95">
      <c r="A224" s="10" t="s">
        <v>396</v>
      </c>
      <c r="B224" s="269"/>
      <c r="C224" s="236"/>
      <c r="D224" s="71"/>
      <c r="E224" s="315"/>
      <c r="F224" s="221"/>
      <c r="G224" s="151"/>
      <c r="H224" s="151"/>
      <c r="I224" s="151"/>
      <c r="J224" s="151"/>
      <c r="K224" s="222"/>
      <c r="L224" s="221"/>
      <c r="M224" s="151"/>
      <c r="N224" s="151"/>
      <c r="O224" s="222"/>
      <c r="P224" s="151"/>
      <c r="Q224" s="151"/>
      <c r="R224" s="151"/>
      <c r="S224" s="221"/>
      <c r="T224" s="151"/>
      <c r="U224" s="348"/>
      <c r="V224" s="365" t="e">
        <f t="shared" si="24"/>
        <v>#DIV/0!</v>
      </c>
      <c r="W224" s="366" t="e">
        <f t="shared" si="25"/>
        <v>#DIV/0!</v>
      </c>
      <c r="X224" s="394"/>
      <c r="Y224" s="395"/>
      <c r="Z224" s="376"/>
      <c r="AA224" s="250"/>
      <c r="AB224" s="391">
        <f t="shared" si="29"/>
        <v>0</v>
      </c>
    </row>
    <row r="225" spans="1:28" s="7" customFormat="1" ht="108" customHeight="1" x14ac:dyDescent="1.95">
      <c r="A225" s="10">
        <f>'MODIFICAR CODIGOS '!A225</f>
        <v>160121</v>
      </c>
      <c r="B225" s="269" t="str">
        <f>'MODIFICAR CODIGOS '!B225</f>
        <v>POWERADE ION4 FT 500ML PET(6)</v>
      </c>
      <c r="C225" s="283">
        <f>'MODIFICAR CODIGOS '!C225</f>
        <v>350</v>
      </c>
      <c r="D225" s="317">
        <f>'MODIFICAR CODIGOS '!D225</f>
        <v>50</v>
      </c>
      <c r="E225" s="10">
        <f>'MODIFICAR CODIGOS '!E225</f>
        <v>6</v>
      </c>
      <c r="F225" s="220"/>
      <c r="G225" s="147"/>
      <c r="H225" s="147">
        <v>1</v>
      </c>
      <c r="I225" s="147"/>
      <c r="J225" s="147"/>
      <c r="K225" s="219"/>
      <c r="L225" s="220"/>
      <c r="M225" s="147"/>
      <c r="N225" s="147"/>
      <c r="O225" s="219">
        <v>2</v>
      </c>
      <c r="P225" s="143">
        <v>12</v>
      </c>
      <c r="Q225" s="147"/>
      <c r="R225" s="141"/>
      <c r="S225" s="220">
        <v>1</v>
      </c>
      <c r="T225" s="219"/>
      <c r="U225" s="212">
        <f t="shared" si="23"/>
        <v>462.01</v>
      </c>
      <c r="V225" s="365">
        <f t="shared" si="24"/>
        <v>462</v>
      </c>
      <c r="W225" s="366">
        <f t="shared" si="25"/>
        <v>1</v>
      </c>
      <c r="X225" s="362">
        <f t="shared" si="26"/>
        <v>462.16666666666669</v>
      </c>
      <c r="Y225" s="294">
        <f t="shared" ca="1" si="28"/>
        <v>46104</v>
      </c>
      <c r="Z225" s="375"/>
      <c r="AA225" s="384"/>
      <c r="AB225" s="391">
        <f t="shared" ca="1" si="29"/>
        <v>-46104</v>
      </c>
    </row>
    <row r="226" spans="1:28" s="7" customFormat="1" ht="108" customHeight="1" x14ac:dyDescent="1.95">
      <c r="A226" s="10">
        <f>'MODIFICAR CODIGOS '!A226</f>
        <v>160122</v>
      </c>
      <c r="B226" s="269" t="str">
        <f>'MODIFICAR CODIGOS '!B226</f>
        <v>POWERADE ION4 MB 500ML PET(6)</v>
      </c>
      <c r="C226" s="283">
        <f>'MODIFICAR CODIGOS '!C226</f>
        <v>350</v>
      </c>
      <c r="D226" s="10">
        <f>'MODIFICAR CODIGOS '!D226</f>
        <v>50</v>
      </c>
      <c r="E226" s="10">
        <f>'MODIFICAR CODIGOS '!E226</f>
        <v>6</v>
      </c>
      <c r="F226" s="220"/>
      <c r="G226" s="147"/>
      <c r="H226" s="147"/>
      <c r="I226" s="147"/>
      <c r="J226" s="147"/>
      <c r="K226" s="219"/>
      <c r="L226" s="220"/>
      <c r="M226" s="147"/>
      <c r="N226" s="147"/>
      <c r="O226" s="219">
        <v>3</v>
      </c>
      <c r="P226" s="143">
        <v>3</v>
      </c>
      <c r="Q226" s="147">
        <v>1</v>
      </c>
      <c r="R226" s="141"/>
      <c r="S226" s="220"/>
      <c r="T226" s="219"/>
      <c r="U226" s="212">
        <f t="shared" si="23"/>
        <v>154</v>
      </c>
      <c r="V226" s="365">
        <f t="shared" si="24"/>
        <v>154</v>
      </c>
      <c r="W226" s="366">
        <f t="shared" si="25"/>
        <v>0</v>
      </c>
      <c r="X226" s="362">
        <f t="shared" si="26"/>
        <v>154</v>
      </c>
      <c r="Y226" s="294">
        <f t="shared" ca="1" si="28"/>
        <v>46104</v>
      </c>
      <c r="Z226" s="375"/>
      <c r="AA226" s="384"/>
      <c r="AB226" s="391">
        <f t="shared" ca="1" si="29"/>
        <v>-46104</v>
      </c>
    </row>
    <row r="227" spans="1:28" s="7" customFormat="1" ht="107.25" hidden="1" customHeight="1" x14ac:dyDescent="1.95">
      <c r="A227" s="10">
        <f>'MODIFICAR CODIGOS '!A227</f>
        <v>0</v>
      </c>
      <c r="B227" s="49">
        <f>'MODIFICAR CODIGOS '!B227</f>
        <v>0</v>
      </c>
      <c r="C227" s="283">
        <f>'MODIFICAR CODIGOS '!C227</f>
        <v>0</v>
      </c>
      <c r="D227" s="316">
        <f>'MODIFICAR CODIGOS '!D227</f>
        <v>0</v>
      </c>
      <c r="E227" s="10">
        <f>'MODIFICAR CODIGOS '!E227</f>
        <v>1</v>
      </c>
      <c r="F227" s="220"/>
      <c r="G227" s="147"/>
      <c r="H227" s="147"/>
      <c r="I227" s="147"/>
      <c r="J227" s="147"/>
      <c r="K227" s="219"/>
      <c r="L227" s="220"/>
      <c r="M227" s="147"/>
      <c r="N227" s="147"/>
      <c r="O227" s="219"/>
      <c r="P227" s="143"/>
      <c r="Q227" s="147"/>
      <c r="R227" s="141"/>
      <c r="S227" s="220"/>
      <c r="T227" s="219"/>
      <c r="U227" s="212">
        <f t="shared" si="23"/>
        <v>0</v>
      </c>
      <c r="V227" s="365">
        <f t="shared" si="24"/>
        <v>0</v>
      </c>
      <c r="W227" s="366">
        <f t="shared" si="25"/>
        <v>0</v>
      </c>
      <c r="X227" s="362">
        <f t="shared" si="26"/>
        <v>0</v>
      </c>
      <c r="Y227" s="294">
        <f t="shared" ca="1" si="28"/>
        <v>46104</v>
      </c>
      <c r="Z227" s="375"/>
      <c r="AA227" s="249"/>
      <c r="AB227" s="391">
        <f t="shared" ca="1" si="29"/>
        <v>-46104</v>
      </c>
    </row>
    <row r="228" spans="1:28" s="7" customFormat="1" ht="108" customHeight="1" x14ac:dyDescent="1.95">
      <c r="A228" s="10" t="s">
        <v>396</v>
      </c>
      <c r="B228" s="269"/>
      <c r="C228" s="236"/>
      <c r="D228" s="71"/>
      <c r="E228" s="315"/>
      <c r="F228" s="221"/>
      <c r="G228" s="151"/>
      <c r="H228" s="151"/>
      <c r="I228" s="151"/>
      <c r="J228" s="151"/>
      <c r="K228" s="222"/>
      <c r="L228" s="221"/>
      <c r="M228" s="151"/>
      <c r="N228" s="151"/>
      <c r="O228" s="222"/>
      <c r="P228" s="151"/>
      <c r="Q228" s="151"/>
      <c r="R228" s="151"/>
      <c r="S228" s="221"/>
      <c r="T228" s="151"/>
      <c r="U228" s="348"/>
      <c r="V228" s="365" t="e">
        <f t="shared" si="24"/>
        <v>#DIV/0!</v>
      </c>
      <c r="W228" s="366" t="e">
        <f t="shared" si="25"/>
        <v>#DIV/0!</v>
      </c>
      <c r="X228" s="394"/>
      <c r="Y228" s="395"/>
      <c r="Z228" s="376"/>
      <c r="AA228" s="250"/>
      <c r="AB228" s="391">
        <f t="shared" si="29"/>
        <v>0</v>
      </c>
    </row>
    <row r="229" spans="1:28" s="7" customFormat="1" ht="108" customHeight="1" x14ac:dyDescent="1.95">
      <c r="A229" s="10">
        <f>'MODIFICAR CODIGOS '!A229</f>
        <v>160054</v>
      </c>
      <c r="B229" s="269" t="str">
        <f>'MODIFICAR CODIGOS '!B229</f>
        <v>COCA-COLA 17,7LT BIB</v>
      </c>
      <c r="C229" s="283">
        <f>'MODIFICAR CODIGOS '!C229</f>
        <v>10</v>
      </c>
      <c r="D229" s="317">
        <f>'MODIFICAR CODIGOS '!D229</f>
        <v>10</v>
      </c>
      <c r="E229" s="10">
        <f>'MODIFICAR CODIGOS '!E229</f>
        <v>1</v>
      </c>
      <c r="F229" s="220"/>
      <c r="G229" s="147"/>
      <c r="H229" s="147"/>
      <c r="I229" s="147"/>
      <c r="J229" s="147"/>
      <c r="K229" s="219"/>
      <c r="L229" s="220"/>
      <c r="M229" s="147"/>
      <c r="N229" s="147"/>
      <c r="O229" s="219"/>
      <c r="P229" s="143"/>
      <c r="Q229" s="147"/>
      <c r="R229" s="141"/>
      <c r="S229" s="220"/>
      <c r="T229" s="219"/>
      <c r="U229" s="212">
        <f t="shared" si="23"/>
        <v>0</v>
      </c>
      <c r="V229" s="365">
        <f t="shared" si="24"/>
        <v>0</v>
      </c>
      <c r="W229" s="366">
        <f t="shared" si="25"/>
        <v>0</v>
      </c>
      <c r="X229" s="362">
        <f t="shared" si="26"/>
        <v>0</v>
      </c>
      <c r="Y229" s="294">
        <f t="shared" ca="1" si="28"/>
        <v>46104</v>
      </c>
      <c r="Z229" s="375"/>
      <c r="AA229" s="384"/>
      <c r="AB229" s="391">
        <f t="shared" ca="1" si="29"/>
        <v>-46104</v>
      </c>
    </row>
    <row r="230" spans="1:28" s="7" customFormat="1" ht="108" customHeight="1" x14ac:dyDescent="1.95">
      <c r="A230" s="10">
        <f>'MODIFICAR CODIGOS '!A230</f>
        <v>135762</v>
      </c>
      <c r="B230" s="269" t="str">
        <f>'MODIFICAR CODIGOS '!B230</f>
        <v>COCA COLA ZERO 5 LT BIB</v>
      </c>
      <c r="C230" s="283">
        <f>'MODIFICAR CODIGOS '!C230</f>
        <v>30</v>
      </c>
      <c r="D230" s="10">
        <f>'MODIFICAR CODIGOS '!D230</f>
        <v>30</v>
      </c>
      <c r="E230" s="10">
        <f>'MODIFICAR CODIGOS '!E230</f>
        <v>1</v>
      </c>
      <c r="F230" s="220"/>
      <c r="G230" s="147"/>
      <c r="H230" s="147"/>
      <c r="I230" s="147"/>
      <c r="J230" s="147"/>
      <c r="K230" s="219"/>
      <c r="L230" s="220"/>
      <c r="M230" s="147"/>
      <c r="N230" s="147"/>
      <c r="O230" s="219"/>
      <c r="P230" s="143"/>
      <c r="Q230" s="147"/>
      <c r="R230" s="141"/>
      <c r="S230" s="220"/>
      <c r="T230" s="219"/>
      <c r="U230" s="212">
        <f t="shared" si="23"/>
        <v>0</v>
      </c>
      <c r="V230" s="365">
        <f t="shared" si="24"/>
        <v>0</v>
      </c>
      <c r="W230" s="366">
        <f t="shared" si="25"/>
        <v>0</v>
      </c>
      <c r="X230" s="362">
        <f t="shared" si="26"/>
        <v>0</v>
      </c>
      <c r="Y230" s="294">
        <f t="shared" ca="1" si="28"/>
        <v>46104</v>
      </c>
      <c r="Z230" s="375"/>
      <c r="AA230" s="384"/>
      <c r="AB230" s="391">
        <f t="shared" ca="1" si="29"/>
        <v>-46104</v>
      </c>
    </row>
    <row r="231" spans="1:28" s="7" customFormat="1" ht="108" customHeight="1" x14ac:dyDescent="1.95">
      <c r="A231" s="10">
        <f>'MODIFICAR CODIGOS '!A231</f>
        <v>160063</v>
      </c>
      <c r="B231" s="269" t="str">
        <f>'MODIFICAR CODIGOS '!B231</f>
        <v>QUATRO TJ 5LT BIB</v>
      </c>
      <c r="C231" s="283">
        <f>'MODIFICAR CODIGOS '!C231</f>
        <v>30</v>
      </c>
      <c r="D231" s="10">
        <f>'MODIFICAR CODIGOS '!D231</f>
        <v>30</v>
      </c>
      <c r="E231" s="10">
        <f>'MODIFICAR CODIGOS '!E231</f>
        <v>1</v>
      </c>
      <c r="F231" s="220"/>
      <c r="G231" s="147"/>
      <c r="H231" s="147"/>
      <c r="I231" s="147"/>
      <c r="J231" s="147"/>
      <c r="K231" s="219"/>
      <c r="L231" s="220"/>
      <c r="M231" s="147"/>
      <c r="N231" s="147"/>
      <c r="O231" s="219"/>
      <c r="P231" s="143"/>
      <c r="Q231" s="147"/>
      <c r="R231" s="141"/>
      <c r="S231" s="220"/>
      <c r="T231" s="219"/>
      <c r="U231" s="212">
        <f t="shared" si="23"/>
        <v>0</v>
      </c>
      <c r="V231" s="365">
        <f t="shared" si="24"/>
        <v>0</v>
      </c>
      <c r="W231" s="366">
        <f t="shared" si="25"/>
        <v>0</v>
      </c>
      <c r="X231" s="362">
        <f t="shared" si="26"/>
        <v>0</v>
      </c>
      <c r="Y231" s="294">
        <f t="shared" ca="1" si="28"/>
        <v>46104</v>
      </c>
      <c r="Z231" s="375"/>
      <c r="AA231" s="384"/>
      <c r="AB231" s="391">
        <f t="shared" ca="1" si="29"/>
        <v>-46104</v>
      </c>
    </row>
    <row r="232" spans="1:28" s="7" customFormat="1" ht="108" customHeight="1" x14ac:dyDescent="1.95">
      <c r="A232" s="10">
        <f>'MODIFICAR CODIGOS '!A232</f>
        <v>160014</v>
      </c>
      <c r="B232" s="269" t="str">
        <f>'MODIFICAR CODIGOS '!B232</f>
        <v>SPRITE LL 5LT BIB</v>
      </c>
      <c r="C232" s="283">
        <f>'MODIFICAR CODIGOS '!C232</f>
        <v>30</v>
      </c>
      <c r="D232" s="10">
        <f>'MODIFICAR CODIGOS '!D232</f>
        <v>30</v>
      </c>
      <c r="E232" s="10">
        <f>'MODIFICAR CODIGOS '!E232</f>
        <v>1</v>
      </c>
      <c r="F232" s="220"/>
      <c r="G232" s="147"/>
      <c r="H232" s="147"/>
      <c r="I232" s="147"/>
      <c r="J232" s="147"/>
      <c r="K232" s="219"/>
      <c r="L232" s="220"/>
      <c r="M232" s="147"/>
      <c r="N232" s="147"/>
      <c r="O232" s="219"/>
      <c r="P232" s="143"/>
      <c r="Q232" s="147">
        <v>7</v>
      </c>
      <c r="R232" s="141"/>
      <c r="S232" s="220"/>
      <c r="T232" s="219"/>
      <c r="U232" s="212">
        <f t="shared" si="23"/>
        <v>7</v>
      </c>
      <c r="V232" s="365">
        <f t="shared" si="24"/>
        <v>7</v>
      </c>
      <c r="W232" s="366">
        <f t="shared" si="25"/>
        <v>0</v>
      </c>
      <c r="X232" s="362">
        <f t="shared" si="26"/>
        <v>7</v>
      </c>
      <c r="Y232" s="294">
        <f t="shared" ca="1" si="28"/>
        <v>46104</v>
      </c>
      <c r="Z232" s="375"/>
      <c r="AA232" s="384"/>
      <c r="AB232" s="391">
        <f t="shared" ca="1" si="29"/>
        <v>-46104</v>
      </c>
    </row>
    <row r="233" spans="1:28" s="7" customFormat="1" ht="108" hidden="1" customHeight="1" x14ac:dyDescent="1.95">
      <c r="A233" s="10">
        <f>'MODIFICAR CODIGOS '!A233</f>
        <v>0</v>
      </c>
      <c r="B233" s="269">
        <f>'MODIFICAR CODIGOS '!B233</f>
        <v>0</v>
      </c>
      <c r="C233" s="283">
        <f>'MODIFICAR CODIGOS '!C233</f>
        <v>0</v>
      </c>
      <c r="D233" s="10">
        <f>'MODIFICAR CODIGOS '!D233</f>
        <v>0</v>
      </c>
      <c r="E233" s="10">
        <f>'MODIFICAR CODIGOS '!E233</f>
        <v>1</v>
      </c>
      <c r="F233" s="220"/>
      <c r="G233" s="147"/>
      <c r="H233" s="147"/>
      <c r="I233" s="147"/>
      <c r="J233" s="147"/>
      <c r="K233" s="219"/>
      <c r="L233" s="220"/>
      <c r="M233" s="147"/>
      <c r="N233" s="147"/>
      <c r="O233" s="219"/>
      <c r="P233" s="143"/>
      <c r="Q233" s="147"/>
      <c r="R233" s="141"/>
      <c r="S233" s="220"/>
      <c r="T233" s="219"/>
      <c r="U233" s="212">
        <f t="shared" si="23"/>
        <v>0</v>
      </c>
      <c r="V233" s="365">
        <f t="shared" si="24"/>
        <v>0</v>
      </c>
      <c r="W233" s="366">
        <f t="shared" si="25"/>
        <v>0</v>
      </c>
      <c r="X233" s="362">
        <f t="shared" si="26"/>
        <v>0</v>
      </c>
      <c r="Y233" s="294">
        <f t="shared" ca="1" si="28"/>
        <v>46104</v>
      </c>
      <c r="Z233" s="375"/>
      <c r="AA233" s="384"/>
      <c r="AB233" s="391">
        <f t="shared" ca="1" si="29"/>
        <v>-46104</v>
      </c>
    </row>
    <row r="234" spans="1:28" s="7" customFormat="1" ht="108" customHeight="1" x14ac:dyDescent="1.95">
      <c r="A234" s="10">
        <f>'MODIFICAR CODIGOS '!A234</f>
        <v>136204</v>
      </c>
      <c r="B234" s="269" t="str">
        <f>'MODIFICAR CODIGOS '!B234</f>
        <v>GAS CARBONICO</v>
      </c>
      <c r="C234" s="283">
        <f>'MODIFICAR CODIGOS '!C234</f>
        <v>8</v>
      </c>
      <c r="D234" s="316">
        <f>'MODIFICAR CODIGOS '!D234</f>
        <v>1</v>
      </c>
      <c r="E234" s="10">
        <f>'MODIFICAR CODIGOS '!E234</f>
        <v>1</v>
      </c>
      <c r="F234" s="220"/>
      <c r="G234" s="147"/>
      <c r="H234" s="147"/>
      <c r="I234" s="147"/>
      <c r="J234" s="147"/>
      <c r="K234" s="219"/>
      <c r="L234" s="220"/>
      <c r="M234" s="147"/>
      <c r="N234" s="147"/>
      <c r="O234" s="219"/>
      <c r="P234" s="143"/>
      <c r="Q234" s="147">
        <v>7</v>
      </c>
      <c r="R234" s="141"/>
      <c r="S234" s="220"/>
      <c r="T234" s="219"/>
      <c r="U234" s="212">
        <f t="shared" si="23"/>
        <v>7</v>
      </c>
      <c r="V234" s="365">
        <f t="shared" si="24"/>
        <v>7</v>
      </c>
      <c r="W234" s="366">
        <f t="shared" si="25"/>
        <v>0</v>
      </c>
      <c r="X234" s="362">
        <f t="shared" si="26"/>
        <v>7</v>
      </c>
      <c r="Y234" s="294">
        <f t="shared" ca="1" si="28"/>
        <v>46104</v>
      </c>
      <c r="Z234" s="375"/>
      <c r="AA234" s="384"/>
      <c r="AB234" s="391">
        <f t="shared" ca="1" si="29"/>
        <v>-46104</v>
      </c>
    </row>
    <row r="235" spans="1:28" s="7" customFormat="1" ht="108" customHeight="1" x14ac:dyDescent="1.95">
      <c r="A235" s="10" t="s">
        <v>396</v>
      </c>
      <c r="B235" s="269"/>
      <c r="C235" s="236"/>
      <c r="D235" s="71"/>
      <c r="E235" s="315"/>
      <c r="F235" s="221"/>
      <c r="G235" s="151"/>
      <c r="H235" s="151"/>
      <c r="I235" s="151"/>
      <c r="J235" s="151"/>
      <c r="K235" s="222"/>
      <c r="L235" s="221"/>
      <c r="M235" s="151"/>
      <c r="N235" s="151"/>
      <c r="O235" s="222"/>
      <c r="P235" s="151"/>
      <c r="Q235" s="151"/>
      <c r="R235" s="151"/>
      <c r="S235" s="221"/>
      <c r="T235" s="151"/>
      <c r="U235" s="348"/>
      <c r="V235" s="365" t="e">
        <f t="shared" si="24"/>
        <v>#DIV/0!</v>
      </c>
      <c r="W235" s="366" t="e">
        <f t="shared" si="25"/>
        <v>#DIV/0!</v>
      </c>
      <c r="X235" s="394"/>
      <c r="Y235" s="395"/>
      <c r="Z235" s="376"/>
      <c r="AA235" s="250"/>
      <c r="AB235" s="391">
        <f t="shared" si="29"/>
        <v>0</v>
      </c>
    </row>
    <row r="236" spans="1:28" s="7" customFormat="1" ht="108" customHeight="1" x14ac:dyDescent="1.95">
      <c r="A236" s="10">
        <f>'MODIFICAR CODIGOS '!A236</f>
        <v>92764</v>
      </c>
      <c r="B236" s="269" t="str">
        <f>'MODIFICAR CODIGOS '!B236</f>
        <v>MANANTIAL SIN GAS 500 ML</v>
      </c>
      <c r="C236" s="283">
        <f>'MODIFICAR CODIGOS '!C236</f>
        <v>96</v>
      </c>
      <c r="D236" s="317">
        <f>'MODIFICAR CODIGOS '!D236</f>
        <v>16</v>
      </c>
      <c r="E236" s="10">
        <f>'MODIFICAR CODIGOS '!E236</f>
        <v>12</v>
      </c>
      <c r="F236" s="220"/>
      <c r="G236" s="147"/>
      <c r="H236" s="147"/>
      <c r="I236" s="147"/>
      <c r="J236" s="147"/>
      <c r="K236" s="219"/>
      <c r="L236" s="220"/>
      <c r="M236" s="147"/>
      <c r="N236" s="147"/>
      <c r="O236" s="219">
        <v>3</v>
      </c>
      <c r="P236" s="143"/>
      <c r="Q236" s="147"/>
      <c r="R236" s="141"/>
      <c r="S236" s="220">
        <v>9</v>
      </c>
      <c r="T236" s="219"/>
      <c r="U236" s="212">
        <f t="shared" si="23"/>
        <v>48.09</v>
      </c>
      <c r="V236" s="365">
        <f t="shared" si="24"/>
        <v>48</v>
      </c>
      <c r="W236" s="366">
        <f t="shared" si="25"/>
        <v>9</v>
      </c>
      <c r="X236" s="362">
        <f t="shared" si="26"/>
        <v>48.75</v>
      </c>
      <c r="Y236" s="294">
        <f t="shared" ca="1" si="28"/>
        <v>46104</v>
      </c>
      <c r="Z236" s="375"/>
      <c r="AA236" s="384"/>
      <c r="AB236" s="391">
        <f t="shared" ca="1" si="29"/>
        <v>-46104</v>
      </c>
    </row>
    <row r="237" spans="1:28" s="7" customFormat="1" ht="108" hidden="1" customHeight="1" x14ac:dyDescent="1.95">
      <c r="A237" s="10">
        <f>'MODIFICAR CODIGOS '!A237</f>
        <v>0</v>
      </c>
      <c r="B237" s="49">
        <f>'MODIFICAR CODIGOS '!B237</f>
        <v>0</v>
      </c>
      <c r="C237" s="283">
        <f>'MODIFICAR CODIGOS '!C237</f>
        <v>0</v>
      </c>
      <c r="D237" s="10">
        <f>'MODIFICAR CODIGOS '!D237</f>
        <v>0</v>
      </c>
      <c r="E237" s="10">
        <f>'MODIFICAR CODIGOS '!E237</f>
        <v>12</v>
      </c>
      <c r="F237" s="220"/>
      <c r="G237" s="147"/>
      <c r="H237" s="147"/>
      <c r="I237" s="147"/>
      <c r="J237" s="147"/>
      <c r="K237" s="219"/>
      <c r="L237" s="220"/>
      <c r="M237" s="147"/>
      <c r="N237" s="147"/>
      <c r="O237" s="219"/>
      <c r="P237" s="143"/>
      <c r="Q237" s="147"/>
      <c r="R237" s="141"/>
      <c r="S237" s="220"/>
      <c r="T237" s="219"/>
      <c r="U237" s="212">
        <f t="shared" si="23"/>
        <v>0</v>
      </c>
      <c r="V237" s="365">
        <f t="shared" si="24"/>
        <v>0</v>
      </c>
      <c r="W237" s="366">
        <f t="shared" si="25"/>
        <v>0</v>
      </c>
      <c r="X237" s="362">
        <f t="shared" si="26"/>
        <v>0</v>
      </c>
      <c r="Y237" s="294">
        <f t="shared" ca="1" si="28"/>
        <v>46104</v>
      </c>
      <c r="Z237" s="375"/>
      <c r="AA237" s="384"/>
      <c r="AB237" s="391">
        <f t="shared" ca="1" si="29"/>
        <v>-46104</v>
      </c>
    </row>
    <row r="238" spans="1:28" s="7" customFormat="1" ht="108" customHeight="1" x14ac:dyDescent="1.95">
      <c r="A238" s="10">
        <f>'MODIFICAR CODIGOS '!A238</f>
        <v>160240</v>
      </c>
      <c r="B238" s="269" t="str">
        <f>'MODIFICAR CODIGOS '!B238</f>
        <v>MANANTIAL GAS 600 ML (24)</v>
      </c>
      <c r="C238" s="283">
        <f>'MODIFICAR CODIGOS '!C238</f>
        <v>132</v>
      </c>
      <c r="D238" s="10">
        <f>'MODIFICAR CODIGOS '!D238</f>
        <v>22</v>
      </c>
      <c r="E238" s="10">
        <f>'MODIFICAR CODIGOS '!E238</f>
        <v>12</v>
      </c>
      <c r="F238" s="220"/>
      <c r="G238" s="147"/>
      <c r="H238" s="147"/>
      <c r="I238" s="147"/>
      <c r="J238" s="147"/>
      <c r="K238" s="219"/>
      <c r="L238" s="220"/>
      <c r="M238" s="147"/>
      <c r="N238" s="147"/>
      <c r="O238" s="219"/>
      <c r="P238" s="143"/>
      <c r="Q238" s="147"/>
      <c r="R238" s="141"/>
      <c r="S238" s="220">
        <v>6</v>
      </c>
      <c r="T238" s="219"/>
      <c r="U238" s="212">
        <f t="shared" si="23"/>
        <v>0.06</v>
      </c>
      <c r="V238" s="365">
        <f t="shared" si="24"/>
        <v>0</v>
      </c>
      <c r="W238" s="366">
        <f t="shared" si="25"/>
        <v>6</v>
      </c>
      <c r="X238" s="362">
        <f t="shared" si="26"/>
        <v>0.5</v>
      </c>
      <c r="Y238" s="294">
        <f t="shared" ca="1" si="28"/>
        <v>46104</v>
      </c>
      <c r="Z238" s="375"/>
      <c r="AA238" s="384"/>
      <c r="AB238" s="391">
        <f t="shared" ca="1" si="29"/>
        <v>-46104</v>
      </c>
    </row>
    <row r="239" spans="1:28" s="7" customFormat="1" ht="108" customHeight="1" x14ac:dyDescent="1.95">
      <c r="A239" s="10">
        <f>'MODIFICAR CODIGOS '!A239</f>
        <v>160241</v>
      </c>
      <c r="B239" s="269" t="str">
        <f>'MODIFICAR CODIGOS '!B239</f>
        <v>MANANTIAL 600 ML (12)</v>
      </c>
      <c r="C239" s="283">
        <f>'MODIFICAR CODIGOS '!C239</f>
        <v>132</v>
      </c>
      <c r="D239" s="10">
        <f>'MODIFICAR CODIGOS '!D239</f>
        <v>22</v>
      </c>
      <c r="E239" s="10">
        <f>'MODIFICAR CODIGOS '!E239</f>
        <v>12</v>
      </c>
      <c r="F239" s="220"/>
      <c r="G239" s="147"/>
      <c r="H239" s="147"/>
      <c r="I239" s="147"/>
      <c r="J239" s="147"/>
      <c r="K239" s="219"/>
      <c r="L239" s="220"/>
      <c r="M239" s="147"/>
      <c r="N239" s="147"/>
      <c r="O239" s="219"/>
      <c r="P239" s="143"/>
      <c r="Q239" s="147">
        <v>113</v>
      </c>
      <c r="R239" s="141"/>
      <c r="S239" s="220">
        <v>4</v>
      </c>
      <c r="T239" s="219"/>
      <c r="U239" s="212">
        <f t="shared" si="23"/>
        <v>113.04</v>
      </c>
      <c r="V239" s="365">
        <f t="shared" si="24"/>
        <v>113</v>
      </c>
      <c r="W239" s="366">
        <f t="shared" si="25"/>
        <v>4</v>
      </c>
      <c r="X239" s="362">
        <f t="shared" si="26"/>
        <v>113.33333333333333</v>
      </c>
      <c r="Y239" s="294">
        <f t="shared" ca="1" si="28"/>
        <v>46104</v>
      </c>
      <c r="Z239" s="375"/>
      <c r="AA239" s="384"/>
      <c r="AB239" s="391">
        <f t="shared" ca="1" si="29"/>
        <v>-46104</v>
      </c>
    </row>
    <row r="240" spans="1:28" s="7" customFormat="1" ht="108" customHeight="1" x14ac:dyDescent="1.95">
      <c r="A240" s="10">
        <f>'MODIFICAR CODIGOS '!A240</f>
        <v>160060</v>
      </c>
      <c r="B240" s="269" t="str">
        <f>'MODIFICAR CODIGOS '!B240</f>
        <v>MANANTIAL 1,5 PET (9)</v>
      </c>
      <c r="C240" s="283">
        <f>'MODIFICAR CODIGOS '!C240</f>
        <v>80</v>
      </c>
      <c r="D240" s="316">
        <f>'MODIFICAR CODIGOS '!D240</f>
        <v>16</v>
      </c>
      <c r="E240" s="10">
        <f>'MODIFICAR CODIGOS '!E240</f>
        <v>9</v>
      </c>
      <c r="F240" s="228"/>
      <c r="G240" s="209"/>
      <c r="H240" s="209"/>
      <c r="I240" s="209"/>
      <c r="J240" s="209"/>
      <c r="K240" s="229"/>
      <c r="L240" s="228"/>
      <c r="M240" s="209"/>
      <c r="N240" s="209"/>
      <c r="O240" s="229"/>
      <c r="P240" s="145"/>
      <c r="Q240" s="209"/>
      <c r="R240" s="144"/>
      <c r="S240" s="228"/>
      <c r="T240" s="229"/>
      <c r="U240" s="212">
        <f t="shared" si="23"/>
        <v>0</v>
      </c>
      <c r="V240" s="365">
        <f t="shared" si="24"/>
        <v>0</v>
      </c>
      <c r="W240" s="366">
        <f t="shared" si="25"/>
        <v>0</v>
      </c>
      <c r="X240" s="362">
        <f t="shared" si="26"/>
        <v>0</v>
      </c>
      <c r="Y240" s="294">
        <f t="shared" ca="1" si="28"/>
        <v>46104</v>
      </c>
      <c r="Z240" s="377"/>
      <c r="AA240" s="388"/>
      <c r="AB240" s="391">
        <f t="shared" ca="1" si="29"/>
        <v>-46104</v>
      </c>
    </row>
    <row r="241" spans="1:28" s="7" customFormat="1" ht="108" customHeight="1" x14ac:dyDescent="1.95">
      <c r="A241" s="10" t="s">
        <v>396</v>
      </c>
      <c r="B241" s="269"/>
      <c r="C241" s="236"/>
      <c r="D241" s="71"/>
      <c r="E241" s="315"/>
      <c r="F241" s="230"/>
      <c r="G241" s="142"/>
      <c r="H241" s="142"/>
      <c r="I241" s="142"/>
      <c r="J241" s="142"/>
      <c r="K241" s="231"/>
      <c r="L241" s="230"/>
      <c r="M241" s="142"/>
      <c r="N241" s="142"/>
      <c r="O241" s="231"/>
      <c r="P241" s="142"/>
      <c r="Q241" s="142"/>
      <c r="R241" s="142"/>
      <c r="S241" s="230"/>
      <c r="T241" s="142"/>
      <c r="U241" s="348"/>
      <c r="V241" s="365" t="e">
        <f t="shared" si="24"/>
        <v>#DIV/0!</v>
      </c>
      <c r="W241" s="366" t="e">
        <f t="shared" si="25"/>
        <v>#DIV/0!</v>
      </c>
      <c r="X241" s="394"/>
      <c r="Y241" s="395"/>
      <c r="Z241" s="375"/>
      <c r="AA241" s="255"/>
      <c r="AB241" s="391">
        <f t="shared" si="29"/>
        <v>0</v>
      </c>
    </row>
    <row r="242" spans="1:28" s="7" customFormat="1" ht="108" customHeight="1" x14ac:dyDescent="1.95">
      <c r="A242" s="10">
        <f>'MODIFICAR CODIGOS '!A242</f>
        <v>160168</v>
      </c>
      <c r="B242" s="269" t="str">
        <f>'MODIFICAR CODIGOS '!B242</f>
        <v>AGUA BRISA PET 280 ML (24)</v>
      </c>
      <c r="C242" s="283">
        <f>'MODIFICAR CODIGOS '!C242</f>
        <v>160</v>
      </c>
      <c r="D242" s="317">
        <f>'MODIFICAR CODIGOS '!D242</f>
        <v>16</v>
      </c>
      <c r="E242" s="10">
        <f>'MODIFICAR CODIGOS '!E242</f>
        <v>24</v>
      </c>
      <c r="F242" s="232"/>
      <c r="G242" s="146"/>
      <c r="H242" s="146"/>
      <c r="I242" s="146"/>
      <c r="J242" s="146"/>
      <c r="K242" s="233"/>
      <c r="L242" s="232"/>
      <c r="M242" s="146"/>
      <c r="N242" s="146"/>
      <c r="O242" s="233">
        <v>5</v>
      </c>
      <c r="P242" s="150">
        <v>7</v>
      </c>
      <c r="Q242" s="146"/>
      <c r="R242" s="148"/>
      <c r="S242" s="232">
        <v>4</v>
      </c>
      <c r="T242" s="233">
        <v>12</v>
      </c>
      <c r="U242" s="212">
        <f t="shared" si="23"/>
        <v>87.16</v>
      </c>
      <c r="V242" s="365">
        <f t="shared" si="24"/>
        <v>87</v>
      </c>
      <c r="W242" s="366">
        <f t="shared" si="25"/>
        <v>16</v>
      </c>
      <c r="X242" s="362">
        <f t="shared" si="26"/>
        <v>87.666666666666671</v>
      </c>
      <c r="Y242" s="294">
        <f t="shared" ca="1" si="28"/>
        <v>46104</v>
      </c>
      <c r="Z242" s="378"/>
      <c r="AA242" s="387"/>
      <c r="AB242" s="391">
        <f t="shared" ca="1" si="29"/>
        <v>-46104</v>
      </c>
    </row>
    <row r="243" spans="1:28" s="7" customFormat="1" ht="108" hidden="1" customHeight="1" x14ac:dyDescent="1.95">
      <c r="A243" s="10">
        <f>'MODIFICAR CODIGOS '!A243</f>
        <v>0</v>
      </c>
      <c r="B243" s="269">
        <f>'MODIFICAR CODIGOS '!B243</f>
        <v>0</v>
      </c>
      <c r="C243" s="283">
        <f>'MODIFICAR CODIGOS '!C243</f>
        <v>0</v>
      </c>
      <c r="D243" s="10">
        <f>'MODIFICAR CODIGOS '!D243</f>
        <v>0</v>
      </c>
      <c r="E243" s="10">
        <f>'MODIFICAR CODIGOS '!E243</f>
        <v>24</v>
      </c>
      <c r="F243" s="220"/>
      <c r="G243" s="147"/>
      <c r="H243" s="147"/>
      <c r="I243" s="147"/>
      <c r="J243" s="147"/>
      <c r="K243" s="219"/>
      <c r="L243" s="220"/>
      <c r="M243" s="147"/>
      <c r="N243" s="147"/>
      <c r="O243" s="219"/>
      <c r="P243" s="143"/>
      <c r="Q243" s="147"/>
      <c r="R243" s="141"/>
      <c r="S243" s="220"/>
      <c r="T243" s="219"/>
      <c r="U243" s="212">
        <f t="shared" si="23"/>
        <v>0</v>
      </c>
      <c r="V243" s="365">
        <f t="shared" si="24"/>
        <v>0</v>
      </c>
      <c r="W243" s="366">
        <f t="shared" si="25"/>
        <v>0</v>
      </c>
      <c r="X243" s="362">
        <f t="shared" si="26"/>
        <v>0</v>
      </c>
      <c r="Y243" s="294">
        <f t="shared" ca="1" si="28"/>
        <v>46104</v>
      </c>
      <c r="Z243" s="375"/>
      <c r="AA243" s="384"/>
      <c r="AB243" s="391">
        <f t="shared" ca="1" si="29"/>
        <v>-46104</v>
      </c>
    </row>
    <row r="244" spans="1:28" s="7" customFormat="1" ht="108" customHeight="1" x14ac:dyDescent="1.95">
      <c r="A244" s="10">
        <f>'MODIFICAR CODIGOS '!A244</f>
        <v>160170</v>
      </c>
      <c r="B244" s="269" t="str">
        <f>'MODIFICAR CODIGOS '!B244</f>
        <v>AGUA BRISA GAS LIMA LIMON PET 280 ML (24)</v>
      </c>
      <c r="C244" s="283">
        <f>'MODIFICAR CODIGOS '!C244</f>
        <v>160</v>
      </c>
      <c r="D244" s="10">
        <f>'MODIFICAR CODIGOS '!D244</f>
        <v>16</v>
      </c>
      <c r="E244" s="10">
        <f>'MODIFICAR CODIGOS '!E244</f>
        <v>24</v>
      </c>
      <c r="F244" s="220"/>
      <c r="G244" s="147"/>
      <c r="H244" s="147"/>
      <c r="I244" s="147"/>
      <c r="J244" s="147"/>
      <c r="K244" s="219"/>
      <c r="L244" s="220"/>
      <c r="M244" s="147"/>
      <c r="N244" s="147"/>
      <c r="O244" s="219"/>
      <c r="P244" s="143"/>
      <c r="Q244" s="147"/>
      <c r="R244" s="141"/>
      <c r="S244" s="220"/>
      <c r="T244" s="219"/>
      <c r="U244" s="212">
        <f t="shared" si="23"/>
        <v>0</v>
      </c>
      <c r="V244" s="365">
        <f t="shared" si="24"/>
        <v>0</v>
      </c>
      <c r="W244" s="366">
        <f t="shared" si="25"/>
        <v>0</v>
      </c>
      <c r="X244" s="362">
        <f t="shared" si="26"/>
        <v>0</v>
      </c>
      <c r="Y244" s="294">
        <f t="shared" ca="1" si="28"/>
        <v>46104</v>
      </c>
      <c r="Z244" s="375"/>
      <c r="AA244" s="384"/>
      <c r="AB244" s="391">
        <f t="shared" ca="1" si="29"/>
        <v>-46104</v>
      </c>
    </row>
    <row r="245" spans="1:28" s="7" customFormat="1" ht="108" customHeight="1" x14ac:dyDescent="1.95">
      <c r="A245" s="10">
        <f>'MODIFICAR CODIGOS '!A245</f>
        <v>92768</v>
      </c>
      <c r="B245" s="269" t="str">
        <f>'MODIFICAR CODIGOS '!B245</f>
        <v>AGUA BRISA GAS MANZANA PET 280 ML (24)</v>
      </c>
      <c r="C245" s="283">
        <f>'MODIFICAR CODIGOS '!C245</f>
        <v>160</v>
      </c>
      <c r="D245" s="10">
        <f>'MODIFICAR CODIGOS '!D245</f>
        <v>16</v>
      </c>
      <c r="E245" s="10">
        <f>'MODIFICAR CODIGOS '!E245</f>
        <v>24</v>
      </c>
      <c r="F245" s="220"/>
      <c r="G245" s="147"/>
      <c r="H245" s="147"/>
      <c r="I245" s="147"/>
      <c r="J245" s="147"/>
      <c r="K245" s="219"/>
      <c r="L245" s="220"/>
      <c r="M245" s="147"/>
      <c r="N245" s="147"/>
      <c r="O245" s="219">
        <v>8</v>
      </c>
      <c r="P245" s="143">
        <v>15</v>
      </c>
      <c r="Q245" s="147"/>
      <c r="R245" s="141"/>
      <c r="S245" s="220">
        <v>15</v>
      </c>
      <c r="T245" s="219"/>
      <c r="U245" s="212">
        <f t="shared" si="23"/>
        <v>143.15</v>
      </c>
      <c r="V245" s="365">
        <f t="shared" si="24"/>
        <v>143</v>
      </c>
      <c r="W245" s="366">
        <f t="shared" si="25"/>
        <v>15</v>
      </c>
      <c r="X245" s="362">
        <f t="shared" si="26"/>
        <v>143.625</v>
      </c>
      <c r="Y245" s="294">
        <f t="shared" ca="1" si="28"/>
        <v>46104</v>
      </c>
      <c r="Z245" s="375"/>
      <c r="AA245" s="384"/>
      <c r="AB245" s="391">
        <f t="shared" ca="1" si="29"/>
        <v>-46104</v>
      </c>
    </row>
    <row r="246" spans="1:28" s="7" customFormat="1" ht="108" customHeight="1" x14ac:dyDescent="1.95">
      <c r="A246" s="10">
        <f>'MODIFICAR CODIGOS '!A246</f>
        <v>92793</v>
      </c>
      <c r="B246" s="269" t="str">
        <f>'MODIFICAR CODIGOS '!B246</f>
        <v>AGUA BRISA GAS MARACUYA  PET 280 ML (24)</v>
      </c>
      <c r="C246" s="283">
        <f>'MODIFICAR CODIGOS '!C246</f>
        <v>160</v>
      </c>
      <c r="D246" s="316">
        <f>'MODIFICAR CODIGOS '!D246</f>
        <v>16</v>
      </c>
      <c r="E246" s="10">
        <f>'MODIFICAR CODIGOS '!E246</f>
        <v>24</v>
      </c>
      <c r="F246" s="220"/>
      <c r="G246" s="147"/>
      <c r="H246" s="147"/>
      <c r="I246" s="147"/>
      <c r="J246" s="147"/>
      <c r="K246" s="219"/>
      <c r="L246" s="220"/>
      <c r="M246" s="147"/>
      <c r="N246" s="147"/>
      <c r="O246" s="219"/>
      <c r="P246" s="143"/>
      <c r="Q246" s="147">
        <v>11</v>
      </c>
      <c r="R246" s="141"/>
      <c r="S246" s="220">
        <v>22</v>
      </c>
      <c r="T246" s="219"/>
      <c r="U246" s="212">
        <f t="shared" si="23"/>
        <v>11.22</v>
      </c>
      <c r="V246" s="365">
        <f t="shared" si="24"/>
        <v>11</v>
      </c>
      <c r="W246" s="366">
        <f t="shared" si="25"/>
        <v>22</v>
      </c>
      <c r="X246" s="362">
        <f t="shared" si="26"/>
        <v>11.916666666666666</v>
      </c>
      <c r="Y246" s="294">
        <f t="shared" ca="1" si="28"/>
        <v>46104</v>
      </c>
      <c r="Z246" s="375"/>
      <c r="AA246" s="384"/>
      <c r="AB246" s="391">
        <f t="shared" ca="1" si="29"/>
        <v>-46104</v>
      </c>
    </row>
    <row r="247" spans="1:28" s="7" customFormat="1" ht="108" customHeight="1" thickBot="1" x14ac:dyDescent="2">
      <c r="A247" s="10" t="s">
        <v>396</v>
      </c>
      <c r="B247" s="269"/>
      <c r="C247" s="236"/>
      <c r="D247" s="71"/>
      <c r="E247" s="315"/>
      <c r="F247" s="221"/>
      <c r="G247" s="151"/>
      <c r="H247" s="151"/>
      <c r="I247" s="151"/>
      <c r="J247" s="151"/>
      <c r="K247" s="222"/>
      <c r="L247" s="221"/>
      <c r="M247" s="151"/>
      <c r="N247" s="151"/>
      <c r="O247" s="222"/>
      <c r="P247" s="151"/>
      <c r="Q247" s="151"/>
      <c r="R247" s="151"/>
      <c r="S247" s="221"/>
      <c r="T247" s="151"/>
      <c r="U247" s="348"/>
      <c r="V247" s="365" t="e">
        <f t="shared" si="24"/>
        <v>#DIV/0!</v>
      </c>
      <c r="W247" s="366" t="e">
        <f t="shared" si="25"/>
        <v>#DIV/0!</v>
      </c>
      <c r="X247" s="394"/>
      <c r="Y247" s="395"/>
      <c r="Z247" s="376"/>
      <c r="AA247" s="250"/>
      <c r="AB247" s="391">
        <f t="shared" si="29"/>
        <v>0</v>
      </c>
    </row>
    <row r="248" spans="1:28" s="7" customFormat="1" ht="108" hidden="1" customHeight="1" x14ac:dyDescent="1.95">
      <c r="A248" s="10">
        <f>'MODIFICAR CODIGOS '!A248</f>
        <v>0</v>
      </c>
      <c r="B248" s="49">
        <f>'MODIFICAR CODIGOS '!B248</f>
        <v>0</v>
      </c>
      <c r="C248" s="283">
        <f>'MODIFICAR CODIGOS '!C248</f>
        <v>0</v>
      </c>
      <c r="D248" s="317">
        <f>'MODIFICAR CODIGOS '!D248</f>
        <v>0</v>
      </c>
      <c r="E248" s="10">
        <f>'MODIFICAR CODIGOS '!E248</f>
        <v>1</v>
      </c>
      <c r="F248" s="220"/>
      <c r="G248" s="147"/>
      <c r="H248" s="147"/>
      <c r="I248" s="147"/>
      <c r="J248" s="147"/>
      <c r="K248" s="219"/>
      <c r="L248" s="220"/>
      <c r="M248" s="147"/>
      <c r="N248" s="147"/>
      <c r="O248" s="219"/>
      <c r="P248" s="143"/>
      <c r="Q248" s="147"/>
      <c r="R248" s="141"/>
      <c r="S248" s="220"/>
      <c r="T248" s="219"/>
      <c r="U248" s="212">
        <f t="shared" si="23"/>
        <v>0</v>
      </c>
      <c r="V248" s="365">
        <f t="shared" si="24"/>
        <v>0</v>
      </c>
      <c r="W248" s="366">
        <f t="shared" si="25"/>
        <v>0</v>
      </c>
      <c r="X248" s="362">
        <f t="shared" si="26"/>
        <v>0</v>
      </c>
      <c r="Y248" s="294">
        <f t="shared" ca="1" si="28"/>
        <v>46104</v>
      </c>
      <c r="Z248" s="375"/>
      <c r="AA248" s="249"/>
      <c r="AB248" s="391">
        <f t="shared" ca="1" si="29"/>
        <v>-46104</v>
      </c>
    </row>
    <row r="249" spans="1:28" s="7" customFormat="1" ht="108" hidden="1" customHeight="1" thickBot="1" x14ac:dyDescent="2">
      <c r="A249" s="10">
        <f>'MODIFICAR CODIGOS '!A249</f>
        <v>0</v>
      </c>
      <c r="B249" s="49">
        <f>'MODIFICAR CODIGOS '!B249</f>
        <v>0</v>
      </c>
      <c r="C249" s="283">
        <f>'MODIFICAR CODIGOS '!C249</f>
        <v>0</v>
      </c>
      <c r="D249" s="10">
        <f>'MODIFICAR CODIGOS '!D249</f>
        <v>0</v>
      </c>
      <c r="E249" s="10">
        <f>'MODIFICAR CODIGOS '!E249</f>
        <v>1</v>
      </c>
      <c r="F249" s="220"/>
      <c r="G249" s="147"/>
      <c r="H249" s="147"/>
      <c r="I249" s="147"/>
      <c r="J249" s="147"/>
      <c r="K249" s="219"/>
      <c r="L249" s="220"/>
      <c r="M249" s="147"/>
      <c r="N249" s="147"/>
      <c r="O249" s="219"/>
      <c r="P249" s="143"/>
      <c r="Q249" s="147"/>
      <c r="R249" s="141"/>
      <c r="S249" s="220"/>
      <c r="T249" s="219"/>
      <c r="U249" s="212">
        <f t="shared" si="23"/>
        <v>0</v>
      </c>
      <c r="V249" s="365">
        <f t="shared" si="24"/>
        <v>0</v>
      </c>
      <c r="W249" s="366">
        <f t="shared" si="25"/>
        <v>0</v>
      </c>
      <c r="X249" s="362">
        <f t="shared" ref="X249" si="30">V249+W249/E249</f>
        <v>0</v>
      </c>
      <c r="Y249" s="294">
        <f t="shared" ca="1" si="28"/>
        <v>46104</v>
      </c>
      <c r="Z249" s="375"/>
      <c r="AA249" s="249"/>
      <c r="AB249" s="391">
        <f t="shared" ca="1" si="29"/>
        <v>-46104</v>
      </c>
    </row>
    <row r="250" spans="1:28" s="7" customFormat="1" ht="108" customHeight="1" thickBot="1" x14ac:dyDescent="2">
      <c r="A250" s="55" t="s">
        <v>0</v>
      </c>
      <c r="B250" s="263" t="s">
        <v>1</v>
      </c>
      <c r="C250" s="280" t="s">
        <v>114</v>
      </c>
      <c r="D250" s="57" t="s">
        <v>115</v>
      </c>
      <c r="E250" s="281" t="s">
        <v>406</v>
      </c>
      <c r="F250" s="399" t="s">
        <v>408</v>
      </c>
      <c r="G250" s="400"/>
      <c r="H250" s="400"/>
      <c r="I250" s="400"/>
      <c r="J250" s="400"/>
      <c r="K250" s="401"/>
      <c r="L250" s="402" t="s">
        <v>409</v>
      </c>
      <c r="M250" s="403"/>
      <c r="N250" s="403"/>
      <c r="O250" s="404"/>
      <c r="P250" s="405" t="s">
        <v>411</v>
      </c>
      <c r="Q250" s="405"/>
      <c r="R250" s="405"/>
      <c r="S250" s="402" t="s">
        <v>410</v>
      </c>
      <c r="T250" s="404"/>
      <c r="U250" s="358" t="s">
        <v>2</v>
      </c>
      <c r="V250" s="365" t="e">
        <f t="shared" si="24"/>
        <v>#VALUE!</v>
      </c>
      <c r="W250" s="366" t="e">
        <f t="shared" si="25"/>
        <v>#VALUE!</v>
      </c>
      <c r="X250" s="369" t="s">
        <v>478</v>
      </c>
      <c r="Y250" s="253" t="s">
        <v>412</v>
      </c>
      <c r="Z250" s="374"/>
      <c r="AA250" s="386" t="s">
        <v>413</v>
      </c>
      <c r="AB250" s="392" t="s">
        <v>479</v>
      </c>
    </row>
    <row r="251" spans="1:28" s="7" customFormat="1" ht="108" customHeight="1" x14ac:dyDescent="1.95">
      <c r="A251" s="23">
        <f>'MODIFICAR CODIGOS '!A251</f>
        <v>160151</v>
      </c>
      <c r="B251" s="270" t="str">
        <f>'MODIFICAR CODIGOS '!B251</f>
        <v>AGUA BRISA BIDON 6 LT (2)</v>
      </c>
      <c r="C251" s="284">
        <f>'MODIFICAR CODIGOS '!C251</f>
        <v>63</v>
      </c>
      <c r="D251" s="23">
        <f>'MODIFICAR CODIGOS '!D251</f>
        <v>21</v>
      </c>
      <c r="E251" s="23">
        <f>'MODIFICAR CODIGOS '!E251</f>
        <v>2</v>
      </c>
      <c r="F251" s="228"/>
      <c r="G251" s="209"/>
      <c r="H251" s="209"/>
      <c r="I251" s="209">
        <v>1</v>
      </c>
      <c r="J251" s="209"/>
      <c r="K251" s="219"/>
      <c r="L251" s="228"/>
      <c r="M251" s="209"/>
      <c r="N251" s="209"/>
      <c r="O251" s="229"/>
      <c r="P251" s="145"/>
      <c r="Q251" s="209">
        <v>2</v>
      </c>
      <c r="R251" s="144"/>
      <c r="S251" s="228">
        <v>1</v>
      </c>
      <c r="T251" s="229"/>
      <c r="U251" s="359">
        <f>(F251*C251+G251*C251+H251*C251+I251*C251+J251*C251+K251*C251+L251*D251+M251*D251+N251*D251+O251*D251+P251*1+Q251*1+R251*1+(TRUNC((S251+T251)/E251)))+(((S251+T251)/E251-TRUNC((S251+T251)/E251))*E251)/100</f>
        <v>65.010000000000005</v>
      </c>
      <c r="V251" s="365">
        <f t="shared" si="24"/>
        <v>65</v>
      </c>
      <c r="W251" s="366">
        <f t="shared" si="25"/>
        <v>1</v>
      </c>
      <c r="X251" s="362">
        <f t="shared" ref="X251:X314" si="31">V251+W251/E251</f>
        <v>65.5</v>
      </c>
      <c r="Y251" s="294">
        <f t="shared" ref="Y251:Y314" ca="1" si="32">TODAY()</f>
        <v>46104</v>
      </c>
      <c r="Z251" s="377"/>
      <c r="AA251" s="388"/>
      <c r="AB251" s="391">
        <f t="shared" ca="1" si="29"/>
        <v>-46104</v>
      </c>
    </row>
    <row r="252" spans="1:28" s="7" customFormat="1" ht="108" hidden="1" customHeight="1" x14ac:dyDescent="1.95">
      <c r="A252" s="23">
        <f>'MODIFICAR CODIGOS '!A252</f>
        <v>0</v>
      </c>
      <c r="B252" s="271">
        <f>'MODIFICAR CODIGOS '!B252</f>
        <v>0</v>
      </c>
      <c r="C252" s="284">
        <f>'MODIFICAR CODIGOS '!C252</f>
        <v>0</v>
      </c>
      <c r="D252" s="23">
        <f>'MODIFICAR CODIGOS '!D252</f>
        <v>0</v>
      </c>
      <c r="E252" s="23">
        <f>'MODIFICAR CODIGOS '!E252</f>
        <v>1</v>
      </c>
      <c r="F252" s="220"/>
      <c r="G252" s="147"/>
      <c r="H252" s="147"/>
      <c r="I252" s="147"/>
      <c r="J252" s="147"/>
      <c r="K252" s="219"/>
      <c r="L252" s="220"/>
      <c r="M252" s="147"/>
      <c r="N252" s="147"/>
      <c r="O252" s="219"/>
      <c r="P252" s="143"/>
      <c r="Q252" s="147"/>
      <c r="R252" s="141"/>
      <c r="S252" s="220"/>
      <c r="T252" s="219"/>
      <c r="U252" s="359">
        <f t="shared" ref="U252:U315" si="33">(F252*C252+G252*C252+H252*C252+I252*C252+J252*C252+K252*C252+L252*D252+M252*D252+N252*D252+O252*D252+P252*1+Q252*1+R252*1+(TRUNC((S252+T252)/E252)))+(((S252+T252)/E252-TRUNC((S252+T252)/E252))*E252)/100</f>
        <v>0</v>
      </c>
      <c r="V252" s="365">
        <f t="shared" si="24"/>
        <v>0</v>
      </c>
      <c r="W252" s="366">
        <f t="shared" si="25"/>
        <v>0</v>
      </c>
      <c r="X252" s="362">
        <f t="shared" si="31"/>
        <v>0</v>
      </c>
      <c r="Y252" s="294">
        <f t="shared" ca="1" si="32"/>
        <v>46104</v>
      </c>
      <c r="Z252" s="375"/>
      <c r="AA252" s="249"/>
      <c r="AB252" s="391">
        <f t="shared" ca="1" si="29"/>
        <v>-46104</v>
      </c>
    </row>
    <row r="253" spans="1:28" s="7" customFormat="1" ht="107.4" x14ac:dyDescent="1.95">
      <c r="A253" s="23">
        <f>'MODIFICAR CODIGOS '!A253</f>
        <v>160047</v>
      </c>
      <c r="B253" s="270" t="str">
        <f>'MODIFICAR CODIGOS '!B253</f>
        <v>AGUA BRISA PET 600ML (24)</v>
      </c>
      <c r="C253" s="284">
        <f>'MODIFICAR CODIGOS '!C253</f>
        <v>84</v>
      </c>
      <c r="D253" s="23">
        <f>'MODIFICAR CODIGOS '!D253</f>
        <v>12</v>
      </c>
      <c r="E253" s="23">
        <f>'MODIFICAR CODIGOS '!E253</f>
        <v>24</v>
      </c>
      <c r="F253" s="220"/>
      <c r="G253" s="147"/>
      <c r="H253" s="147"/>
      <c r="I253" s="147">
        <v>4</v>
      </c>
      <c r="J253" s="147"/>
      <c r="K253" s="219"/>
      <c r="L253" s="220"/>
      <c r="M253" s="147"/>
      <c r="N253" s="147">
        <v>5</v>
      </c>
      <c r="O253" s="219"/>
      <c r="P253" s="143">
        <v>10</v>
      </c>
      <c r="Q253" s="147"/>
      <c r="R253" s="141"/>
      <c r="S253" s="220"/>
      <c r="T253" s="219"/>
      <c r="U253" s="359">
        <f t="shared" si="33"/>
        <v>406</v>
      </c>
      <c r="V253" s="365">
        <f t="shared" si="24"/>
        <v>406</v>
      </c>
      <c r="W253" s="366">
        <f t="shared" si="25"/>
        <v>0</v>
      </c>
      <c r="X253" s="362">
        <f t="shared" si="31"/>
        <v>406</v>
      </c>
      <c r="Y253" s="294">
        <f t="shared" ca="1" si="32"/>
        <v>46104</v>
      </c>
      <c r="Z253" s="375"/>
      <c r="AA253" s="384"/>
      <c r="AB253" s="391">
        <f t="shared" ca="1" si="29"/>
        <v>-46104</v>
      </c>
    </row>
    <row r="254" spans="1:28" s="7" customFormat="1" ht="107.4" hidden="1" x14ac:dyDescent="1.95">
      <c r="A254" s="23">
        <f>'MODIFICAR CODIGOS '!A254</f>
        <v>0</v>
      </c>
      <c r="B254" s="271">
        <f>'MODIFICAR CODIGOS '!B254</f>
        <v>0</v>
      </c>
      <c r="C254" s="284">
        <f>'MODIFICAR CODIGOS '!C254</f>
        <v>0</v>
      </c>
      <c r="D254" s="23">
        <f>'MODIFICAR CODIGOS '!D254</f>
        <v>0</v>
      </c>
      <c r="E254" s="23">
        <f>'MODIFICAR CODIGOS '!E254</f>
        <v>1</v>
      </c>
      <c r="F254" s="220"/>
      <c r="G254" s="147"/>
      <c r="H254" s="147"/>
      <c r="I254" s="147"/>
      <c r="J254" s="147"/>
      <c r="K254" s="219"/>
      <c r="L254" s="220"/>
      <c r="M254" s="147"/>
      <c r="N254" s="147"/>
      <c r="O254" s="219"/>
      <c r="P254" s="143"/>
      <c r="Q254" s="147"/>
      <c r="R254" s="141"/>
      <c r="S254" s="220"/>
      <c r="T254" s="219"/>
      <c r="U254" s="359">
        <f t="shared" si="33"/>
        <v>0</v>
      </c>
      <c r="V254" s="365">
        <f t="shared" si="24"/>
        <v>0</v>
      </c>
      <c r="W254" s="366">
        <f t="shared" si="25"/>
        <v>0</v>
      </c>
      <c r="X254" s="362">
        <f t="shared" si="31"/>
        <v>0</v>
      </c>
      <c r="Y254" s="294">
        <f t="shared" ca="1" si="32"/>
        <v>46104</v>
      </c>
      <c r="Z254" s="375"/>
      <c r="AA254" s="249"/>
      <c r="AB254" s="391">
        <f t="shared" ca="1" si="29"/>
        <v>-46104</v>
      </c>
    </row>
    <row r="255" spans="1:28" s="7" customFormat="1" ht="107.25" hidden="1" customHeight="1" x14ac:dyDescent="1.95">
      <c r="A255" s="23">
        <f>'MODIFICAR CODIGOS '!A255</f>
        <v>0</v>
      </c>
      <c r="B255" s="271">
        <f>'MODIFICAR CODIGOS '!B255</f>
        <v>0</v>
      </c>
      <c r="C255" s="284">
        <f>'MODIFICAR CODIGOS '!C255</f>
        <v>0</v>
      </c>
      <c r="D255" s="23">
        <f>'MODIFICAR CODIGOS '!D255</f>
        <v>0</v>
      </c>
      <c r="E255" s="23">
        <f>'MODIFICAR CODIGOS '!E255</f>
        <v>1</v>
      </c>
      <c r="F255" s="220"/>
      <c r="G255" s="147"/>
      <c r="H255" s="147"/>
      <c r="I255" s="147"/>
      <c r="J255" s="147"/>
      <c r="K255" s="219"/>
      <c r="L255" s="220"/>
      <c r="M255" s="147"/>
      <c r="N255" s="147"/>
      <c r="O255" s="219"/>
      <c r="P255" s="143"/>
      <c r="Q255" s="147"/>
      <c r="R255" s="141"/>
      <c r="S255" s="220"/>
      <c r="T255" s="219"/>
      <c r="U255" s="359">
        <f t="shared" si="33"/>
        <v>0</v>
      </c>
      <c r="V255" s="365">
        <f t="shared" si="24"/>
        <v>0</v>
      </c>
      <c r="W255" s="366">
        <f t="shared" si="25"/>
        <v>0</v>
      </c>
      <c r="X255" s="362">
        <f t="shared" si="31"/>
        <v>0</v>
      </c>
      <c r="Y255" s="294">
        <f t="shared" ca="1" si="32"/>
        <v>46104</v>
      </c>
      <c r="Z255" s="375"/>
      <c r="AA255" s="249"/>
      <c r="AB255" s="391">
        <f t="shared" ca="1" si="29"/>
        <v>-46104</v>
      </c>
    </row>
    <row r="256" spans="1:28" s="7" customFormat="1" ht="108" customHeight="1" x14ac:dyDescent="1.95">
      <c r="A256" s="23">
        <f>'MODIFICAR CODIGOS '!A256</f>
        <v>160046</v>
      </c>
      <c r="B256" s="270" t="str">
        <f>'MODIFICAR CODIGOS '!B256</f>
        <v>AGUA BRISA GAS PET 600ML (24)</v>
      </c>
      <c r="C256" s="284">
        <f>'MODIFICAR CODIGOS '!C256</f>
        <v>84</v>
      </c>
      <c r="D256" s="23">
        <f>'MODIFICAR CODIGOS '!D256</f>
        <v>12</v>
      </c>
      <c r="E256" s="23">
        <f>'MODIFICAR CODIGOS '!E256</f>
        <v>24</v>
      </c>
      <c r="F256" s="220"/>
      <c r="G256" s="147"/>
      <c r="H256" s="147"/>
      <c r="I256" s="147">
        <v>1</v>
      </c>
      <c r="J256" s="147"/>
      <c r="K256" s="219"/>
      <c r="L256" s="220"/>
      <c r="M256" s="147"/>
      <c r="N256" s="147"/>
      <c r="O256" s="219"/>
      <c r="P256" s="143"/>
      <c r="Q256" s="147">
        <v>4</v>
      </c>
      <c r="R256" s="141"/>
      <c r="S256" s="220">
        <v>5</v>
      </c>
      <c r="T256" s="219"/>
      <c r="U256" s="359">
        <f t="shared" si="33"/>
        <v>88.05</v>
      </c>
      <c r="V256" s="365">
        <f t="shared" si="24"/>
        <v>88</v>
      </c>
      <c r="W256" s="366">
        <f t="shared" si="25"/>
        <v>5</v>
      </c>
      <c r="X256" s="362">
        <f t="shared" si="31"/>
        <v>88.208333333333329</v>
      </c>
      <c r="Y256" s="294">
        <f t="shared" ca="1" si="32"/>
        <v>46104</v>
      </c>
      <c r="Z256" s="375"/>
      <c r="AA256" s="384"/>
      <c r="AB256" s="391">
        <f t="shared" ca="1" si="29"/>
        <v>-46104</v>
      </c>
    </row>
    <row r="257" spans="1:28" s="7" customFormat="1" ht="108" customHeight="1" x14ac:dyDescent="1.95">
      <c r="A257" s="23">
        <f>'MODIFICAR CODIGOS '!A257</f>
        <v>92740</v>
      </c>
      <c r="B257" s="270" t="str">
        <f>'MODIFICAR CODIGOS '!B257</f>
        <v>BRISA LIMA LIMON 1.5 L PET (12)</v>
      </c>
      <c r="C257" s="284">
        <f>'MODIFICAR CODIGOS '!C257</f>
        <v>65</v>
      </c>
      <c r="D257" s="23">
        <f>'MODIFICAR CODIGOS '!D257</f>
        <v>13</v>
      </c>
      <c r="E257" s="23">
        <f>'MODIFICAR CODIGOS '!E257</f>
        <v>12</v>
      </c>
      <c r="F257" s="220"/>
      <c r="G257" s="147"/>
      <c r="H257" s="147"/>
      <c r="I257" s="147"/>
      <c r="J257" s="147"/>
      <c r="K257" s="219"/>
      <c r="L257" s="220"/>
      <c r="M257" s="147"/>
      <c r="N257" s="147"/>
      <c r="O257" s="219"/>
      <c r="P257" s="143"/>
      <c r="Q257" s="147"/>
      <c r="R257" s="141"/>
      <c r="S257" s="220"/>
      <c r="T257" s="219"/>
      <c r="U257" s="359">
        <f t="shared" si="33"/>
        <v>0</v>
      </c>
      <c r="V257" s="365">
        <f t="shared" si="24"/>
        <v>0</v>
      </c>
      <c r="W257" s="366">
        <f t="shared" si="25"/>
        <v>0</v>
      </c>
      <c r="X257" s="362">
        <f t="shared" si="31"/>
        <v>0</v>
      </c>
      <c r="Y257" s="294">
        <f t="shared" ca="1" si="32"/>
        <v>46104</v>
      </c>
      <c r="Z257" s="375"/>
      <c r="AA257" s="384"/>
      <c r="AB257" s="391">
        <f t="shared" ca="1" si="29"/>
        <v>-46104</v>
      </c>
    </row>
    <row r="258" spans="1:28" s="7" customFormat="1" ht="108" customHeight="1" x14ac:dyDescent="1.95">
      <c r="A258" s="23">
        <f>'MODIFICAR CODIGOS '!A258</f>
        <v>92770</v>
      </c>
      <c r="B258" s="270" t="str">
        <f>'MODIFICAR CODIGOS '!B258</f>
        <v>BRISA MANZANA 1.5 L</v>
      </c>
      <c r="C258" s="284">
        <f>'MODIFICAR CODIGOS '!C258</f>
        <v>65</v>
      </c>
      <c r="D258" s="23">
        <f>'MODIFICAR CODIGOS '!D258</f>
        <v>13</v>
      </c>
      <c r="E258" s="23">
        <f>'MODIFICAR CODIGOS '!E258</f>
        <v>12</v>
      </c>
      <c r="F258" s="220"/>
      <c r="G258" s="147"/>
      <c r="H258" s="147"/>
      <c r="I258" s="147"/>
      <c r="J258" s="147"/>
      <c r="K258" s="219"/>
      <c r="L258" s="220"/>
      <c r="M258" s="147"/>
      <c r="N258" s="147"/>
      <c r="O258" s="219"/>
      <c r="P258" s="143"/>
      <c r="Q258" s="147">
        <v>12</v>
      </c>
      <c r="R258" s="141"/>
      <c r="S258" s="220">
        <v>1</v>
      </c>
      <c r="T258" s="219"/>
      <c r="U258" s="359">
        <f t="shared" si="33"/>
        <v>12.01</v>
      </c>
      <c r="V258" s="365">
        <f t="shared" si="24"/>
        <v>12</v>
      </c>
      <c r="W258" s="366">
        <f t="shared" si="25"/>
        <v>1</v>
      </c>
      <c r="X258" s="362">
        <f t="shared" si="31"/>
        <v>12.083333333333334</v>
      </c>
      <c r="Y258" s="294">
        <f t="shared" ca="1" si="32"/>
        <v>46104</v>
      </c>
      <c r="Z258" s="375"/>
      <c r="AA258" s="384"/>
      <c r="AB258" s="391">
        <f t="shared" ca="1" si="29"/>
        <v>-46104</v>
      </c>
    </row>
    <row r="259" spans="1:28" s="7" customFormat="1" ht="108" customHeight="1" x14ac:dyDescent="1.95">
      <c r="A259" s="23">
        <f>'MODIFICAR CODIGOS '!A259</f>
        <v>92795</v>
      </c>
      <c r="B259" s="270" t="str">
        <f>'MODIFICAR CODIGOS '!B259</f>
        <v xml:space="preserve"> BRISA MARACUYA PET 1,5LT (12)</v>
      </c>
      <c r="C259" s="284">
        <f>'MODIFICAR CODIGOS '!C259</f>
        <v>65</v>
      </c>
      <c r="D259" s="23">
        <f>'MODIFICAR CODIGOS '!D259</f>
        <v>13</v>
      </c>
      <c r="E259" s="23">
        <f>'MODIFICAR CODIGOS '!E259</f>
        <v>12</v>
      </c>
      <c r="F259" s="220"/>
      <c r="G259" s="147"/>
      <c r="H259" s="147"/>
      <c r="I259" s="147"/>
      <c r="J259" s="147"/>
      <c r="K259" s="219"/>
      <c r="L259" s="220"/>
      <c r="M259" s="147"/>
      <c r="N259" s="147"/>
      <c r="O259" s="219"/>
      <c r="P259" s="143"/>
      <c r="Q259" s="147">
        <v>9</v>
      </c>
      <c r="R259" s="141"/>
      <c r="S259" s="220">
        <v>7</v>
      </c>
      <c r="T259" s="219"/>
      <c r="U259" s="359">
        <f t="shared" si="33"/>
        <v>9.07</v>
      </c>
      <c r="V259" s="365">
        <f t="shared" ref="V259:V322" si="34">(F259*C259+G259*C259+H259*C259+I259*C259+J259*C259+K259*C259+L259*D259+M259*D259+N259*D259+O259*D259+P259*1+Q259*1+R259*1+(TRUNC((S259+T259)/E259)))</f>
        <v>9</v>
      </c>
      <c r="W259" s="366">
        <f t="shared" ref="W259:W322" si="35">(((S259+T259)/E259-TRUNC((S259+T259)/E259))*E259)</f>
        <v>7</v>
      </c>
      <c r="X259" s="362">
        <f t="shared" si="31"/>
        <v>9.5833333333333339</v>
      </c>
      <c r="Y259" s="294">
        <f t="shared" ca="1" si="32"/>
        <v>46104</v>
      </c>
      <c r="Z259" s="375"/>
      <c r="AA259" s="384"/>
      <c r="AB259" s="391">
        <f t="shared" ca="1" si="29"/>
        <v>-46104</v>
      </c>
    </row>
    <row r="260" spans="1:28" s="7" customFormat="1" ht="108" customHeight="1" x14ac:dyDescent="1.95">
      <c r="A260" s="23" t="s">
        <v>396</v>
      </c>
      <c r="B260" s="270"/>
      <c r="C260" s="318"/>
      <c r="D260" s="321"/>
      <c r="E260" s="319"/>
      <c r="F260" s="220"/>
      <c r="G260" s="147"/>
      <c r="H260" s="147"/>
      <c r="I260" s="147"/>
      <c r="J260" s="147"/>
      <c r="K260" s="219"/>
      <c r="L260" s="220"/>
      <c r="M260" s="147"/>
      <c r="N260" s="147"/>
      <c r="O260" s="219"/>
      <c r="P260" s="143"/>
      <c r="Q260" s="147"/>
      <c r="R260" s="141"/>
      <c r="S260" s="220"/>
      <c r="T260" s="141"/>
      <c r="U260" s="348"/>
      <c r="V260" s="365" t="e">
        <f t="shared" si="34"/>
        <v>#DIV/0!</v>
      </c>
      <c r="W260" s="366" t="e">
        <f t="shared" si="35"/>
        <v>#DIV/0!</v>
      </c>
      <c r="X260" s="394"/>
      <c r="Y260" s="395"/>
      <c r="Z260" s="375"/>
      <c r="AA260" s="249"/>
      <c r="AB260" s="391">
        <f t="shared" si="29"/>
        <v>0</v>
      </c>
    </row>
    <row r="261" spans="1:28" s="7" customFormat="1" ht="108" customHeight="1" x14ac:dyDescent="1.95">
      <c r="A261" s="23">
        <f>'MODIFICAR CODIGOS '!A261</f>
        <v>92794</v>
      </c>
      <c r="B261" s="270" t="str">
        <f>'MODIFICAR CODIGOS '!B261</f>
        <v xml:space="preserve"> BRISA MARACUYA PET 600ML (6)</v>
      </c>
      <c r="C261" s="284">
        <f>'MODIFICAR CODIGOS '!C261</f>
        <v>336</v>
      </c>
      <c r="D261" s="320">
        <f>'MODIFICAR CODIGOS '!D261</f>
        <v>48</v>
      </c>
      <c r="E261" s="23">
        <f>'MODIFICAR CODIGOS '!E261</f>
        <v>6</v>
      </c>
      <c r="F261" s="220"/>
      <c r="G261" s="147"/>
      <c r="H261" s="147"/>
      <c r="I261" s="147"/>
      <c r="J261" s="147"/>
      <c r="K261" s="219"/>
      <c r="L261" s="220"/>
      <c r="M261" s="147"/>
      <c r="N261" s="147"/>
      <c r="O261" s="219"/>
      <c r="P261" s="143"/>
      <c r="Q261" s="147">
        <v>36</v>
      </c>
      <c r="R261" s="141"/>
      <c r="S261" s="220"/>
      <c r="T261" s="219"/>
      <c r="U261" s="359">
        <f t="shared" si="33"/>
        <v>36</v>
      </c>
      <c r="V261" s="365">
        <f t="shared" si="34"/>
        <v>36</v>
      </c>
      <c r="W261" s="366">
        <f t="shared" si="35"/>
        <v>0</v>
      </c>
      <c r="X261" s="362">
        <f t="shared" si="31"/>
        <v>36</v>
      </c>
      <c r="Y261" s="294">
        <f t="shared" ca="1" si="32"/>
        <v>46104</v>
      </c>
      <c r="Z261" s="375"/>
      <c r="AA261" s="384"/>
      <c r="AB261" s="391">
        <f t="shared" ca="1" si="29"/>
        <v>-46104</v>
      </c>
    </row>
    <row r="262" spans="1:28" s="7" customFormat="1" ht="108" customHeight="1" x14ac:dyDescent="1.95">
      <c r="A262" s="23">
        <f>'MODIFICAR CODIGOS '!A262</f>
        <v>92736</v>
      </c>
      <c r="B262" s="270" t="str">
        <f>'MODIFICAR CODIGOS '!B262</f>
        <v>BRISA LIMA LIMON 600 ML (6)</v>
      </c>
      <c r="C262" s="284">
        <f>'MODIFICAR CODIGOS '!C262</f>
        <v>336</v>
      </c>
      <c r="D262" s="23">
        <f>'MODIFICAR CODIGOS '!D262</f>
        <v>48</v>
      </c>
      <c r="E262" s="23">
        <f>'MODIFICAR CODIGOS '!E262</f>
        <v>6</v>
      </c>
      <c r="F262" s="220"/>
      <c r="G262" s="147"/>
      <c r="H262" s="147"/>
      <c r="I262" s="147"/>
      <c r="J262" s="147"/>
      <c r="K262" s="219"/>
      <c r="L262" s="220"/>
      <c r="M262" s="147"/>
      <c r="N262" s="147"/>
      <c r="O262" s="219">
        <v>1</v>
      </c>
      <c r="P262" s="143">
        <v>35</v>
      </c>
      <c r="Q262" s="147"/>
      <c r="R262" s="141"/>
      <c r="S262" s="220">
        <v>2</v>
      </c>
      <c r="T262" s="219"/>
      <c r="U262" s="359">
        <f t="shared" si="33"/>
        <v>83.02</v>
      </c>
      <c r="V262" s="365">
        <f t="shared" si="34"/>
        <v>83</v>
      </c>
      <c r="W262" s="366">
        <f t="shared" si="35"/>
        <v>2</v>
      </c>
      <c r="X262" s="362">
        <f t="shared" si="31"/>
        <v>83.333333333333329</v>
      </c>
      <c r="Y262" s="294">
        <f t="shared" ca="1" si="32"/>
        <v>46104</v>
      </c>
      <c r="Z262" s="375"/>
      <c r="AA262" s="384"/>
      <c r="AB262" s="391">
        <f t="shared" ca="1" si="29"/>
        <v>-46104</v>
      </c>
    </row>
    <row r="263" spans="1:28" s="7" customFormat="1" ht="108" customHeight="1" x14ac:dyDescent="1.95">
      <c r="A263" s="23">
        <f>'MODIFICAR CODIGOS '!A263</f>
        <v>92769</v>
      </c>
      <c r="B263" s="270" t="str">
        <f>'MODIFICAR CODIGOS '!B263</f>
        <v>BRISA MANZANA 600 ML(6)</v>
      </c>
      <c r="C263" s="284">
        <f>'MODIFICAR CODIGOS '!C263</f>
        <v>336</v>
      </c>
      <c r="D263" s="23">
        <f>'MODIFICAR CODIGOS '!D263</f>
        <v>48</v>
      </c>
      <c r="E263" s="23">
        <f>'MODIFICAR CODIGOS '!E263</f>
        <v>6</v>
      </c>
      <c r="F263" s="220"/>
      <c r="G263" s="147"/>
      <c r="H263" s="147"/>
      <c r="I263" s="147"/>
      <c r="J263" s="147"/>
      <c r="K263" s="219"/>
      <c r="L263" s="220"/>
      <c r="M263" s="147"/>
      <c r="N263" s="147"/>
      <c r="O263" s="219"/>
      <c r="P263" s="143"/>
      <c r="Q263" s="147">
        <v>4</v>
      </c>
      <c r="R263" s="141"/>
      <c r="S263" s="220">
        <v>5</v>
      </c>
      <c r="T263" s="219"/>
      <c r="U263" s="359">
        <f t="shared" si="33"/>
        <v>4.05</v>
      </c>
      <c r="V263" s="365">
        <f t="shared" si="34"/>
        <v>4</v>
      </c>
      <c r="W263" s="366">
        <f t="shared" si="35"/>
        <v>5</v>
      </c>
      <c r="X263" s="362">
        <f t="shared" si="31"/>
        <v>4.833333333333333</v>
      </c>
      <c r="Y263" s="294">
        <f t="shared" ca="1" si="32"/>
        <v>46104</v>
      </c>
      <c r="Z263" s="375"/>
      <c r="AA263" s="384"/>
      <c r="AB263" s="391">
        <f t="shared" ca="1" si="29"/>
        <v>-46104</v>
      </c>
    </row>
    <row r="264" spans="1:28" s="7" customFormat="1" ht="108" customHeight="1" x14ac:dyDescent="1.95">
      <c r="A264" s="23" t="s">
        <v>396</v>
      </c>
      <c r="B264" s="270"/>
      <c r="C264" s="318"/>
      <c r="D264" s="321"/>
      <c r="E264" s="319"/>
      <c r="F264" s="220"/>
      <c r="G264" s="147"/>
      <c r="H264" s="147"/>
      <c r="I264" s="147"/>
      <c r="J264" s="147"/>
      <c r="K264" s="219"/>
      <c r="L264" s="220"/>
      <c r="M264" s="147"/>
      <c r="N264" s="147"/>
      <c r="O264" s="219"/>
      <c r="P264" s="143"/>
      <c r="Q264" s="147"/>
      <c r="R264" s="141"/>
      <c r="S264" s="220"/>
      <c r="T264" s="141"/>
      <c r="U264" s="348"/>
      <c r="V264" s="365" t="e">
        <f t="shared" si="34"/>
        <v>#DIV/0!</v>
      </c>
      <c r="W264" s="366" t="e">
        <f t="shared" si="35"/>
        <v>#DIV/0!</v>
      </c>
      <c r="X264" s="394"/>
      <c r="Y264" s="395"/>
      <c r="Z264" s="375"/>
      <c r="AA264" s="249"/>
      <c r="AB264" s="391">
        <f t="shared" si="29"/>
        <v>0</v>
      </c>
    </row>
    <row r="265" spans="1:28" s="7" customFormat="1" ht="108" customHeight="1" x14ac:dyDescent="1.95">
      <c r="A265" s="23">
        <f>'MODIFICAR CODIGOS '!A265</f>
        <v>160008</v>
      </c>
      <c r="B265" s="270" t="str">
        <f>'MODIFICAR CODIGOS '!B265</f>
        <v xml:space="preserve">BRISA ECOFLEX </v>
      </c>
      <c r="C265" s="284">
        <f>'MODIFICAR CODIGOS '!C265</f>
        <v>168</v>
      </c>
      <c r="D265" s="320">
        <f>'MODIFICAR CODIGOS '!D265</f>
        <v>28</v>
      </c>
      <c r="E265" s="23">
        <f>'MODIFICAR CODIGOS '!E265</f>
        <v>6</v>
      </c>
      <c r="F265" s="220"/>
      <c r="G265" s="147"/>
      <c r="H265" s="147"/>
      <c r="I265" s="147"/>
      <c r="J265" s="147"/>
      <c r="K265" s="219"/>
      <c r="L265" s="220"/>
      <c r="M265" s="147"/>
      <c r="N265" s="147"/>
      <c r="O265" s="219"/>
      <c r="P265" s="143"/>
      <c r="Q265" s="147">
        <v>99</v>
      </c>
      <c r="R265" s="141"/>
      <c r="S265" s="220">
        <v>2</v>
      </c>
      <c r="T265" s="219"/>
      <c r="U265" s="359">
        <f t="shared" si="33"/>
        <v>99.02</v>
      </c>
      <c r="V265" s="365">
        <f t="shared" si="34"/>
        <v>99</v>
      </c>
      <c r="W265" s="366">
        <f t="shared" si="35"/>
        <v>2</v>
      </c>
      <c r="X265" s="362">
        <f t="shared" si="31"/>
        <v>99.333333333333329</v>
      </c>
      <c r="Y265" s="294">
        <f t="shared" ca="1" si="32"/>
        <v>46104</v>
      </c>
      <c r="Z265" s="375"/>
      <c r="AA265" s="384"/>
      <c r="AB265" s="391">
        <f t="shared" ca="1" si="29"/>
        <v>-46104</v>
      </c>
    </row>
    <row r="266" spans="1:28" s="7" customFormat="1" ht="108" customHeight="1" x14ac:dyDescent="1.95">
      <c r="A266" s="23">
        <f>'MODIFICAR CODIGOS '!A266</f>
        <v>92757</v>
      </c>
      <c r="B266" s="270" t="str">
        <f>'MODIFICAR CODIGOS '!B266</f>
        <v>BRISA SIN GAS 3 LT (6)</v>
      </c>
      <c r="C266" s="284">
        <f>'MODIFICAR CODIGOS '!C266</f>
        <v>60</v>
      </c>
      <c r="D266" s="23">
        <f>'MODIFICAR CODIGOS '!D266</f>
        <v>15</v>
      </c>
      <c r="E266" s="23">
        <f>'MODIFICAR CODIGOS '!E266</f>
        <v>6</v>
      </c>
      <c r="F266" s="220"/>
      <c r="G266" s="147"/>
      <c r="H266" s="147"/>
      <c r="I266" s="147"/>
      <c r="J266" s="147"/>
      <c r="K266" s="219"/>
      <c r="L266" s="220"/>
      <c r="M266" s="147"/>
      <c r="N266" s="147"/>
      <c r="O266" s="219"/>
      <c r="P266" s="143"/>
      <c r="Q266" s="147"/>
      <c r="R266" s="141"/>
      <c r="S266" s="220"/>
      <c r="T266" s="219"/>
      <c r="U266" s="359">
        <f t="shared" si="33"/>
        <v>0</v>
      </c>
      <c r="V266" s="365">
        <f t="shared" si="34"/>
        <v>0</v>
      </c>
      <c r="W266" s="366">
        <f t="shared" si="35"/>
        <v>0</v>
      </c>
      <c r="X266" s="362">
        <f t="shared" si="31"/>
        <v>0</v>
      </c>
      <c r="Y266" s="294">
        <f t="shared" ca="1" si="32"/>
        <v>46104</v>
      </c>
      <c r="Z266" s="375"/>
      <c r="AA266" s="384"/>
      <c r="AB266" s="391">
        <f t="shared" ca="1" si="29"/>
        <v>-46104</v>
      </c>
    </row>
    <row r="267" spans="1:28" s="7" customFormat="1" ht="108" hidden="1" customHeight="1" x14ac:dyDescent="1.95">
      <c r="A267" s="23">
        <f>'MODIFICAR CODIGOS '!A267</f>
        <v>0</v>
      </c>
      <c r="B267" s="270">
        <f>'MODIFICAR CODIGOS '!B267</f>
        <v>0</v>
      </c>
      <c r="C267" s="284">
        <f>'MODIFICAR CODIGOS '!C267</f>
        <v>0</v>
      </c>
      <c r="D267" s="23">
        <f>'MODIFICAR CODIGOS '!D267</f>
        <v>0</v>
      </c>
      <c r="E267" s="23">
        <f>'MODIFICAR CODIGOS '!E267</f>
        <v>2</v>
      </c>
      <c r="F267" s="220"/>
      <c r="G267" s="147"/>
      <c r="H267" s="147"/>
      <c r="I267" s="147"/>
      <c r="J267" s="147"/>
      <c r="K267" s="219"/>
      <c r="L267" s="220"/>
      <c r="M267" s="147"/>
      <c r="N267" s="147"/>
      <c r="O267" s="219"/>
      <c r="P267" s="143"/>
      <c r="Q267" s="147"/>
      <c r="R267" s="141"/>
      <c r="S267" s="220"/>
      <c r="T267" s="219"/>
      <c r="U267" s="359">
        <f t="shared" si="33"/>
        <v>0</v>
      </c>
      <c r="V267" s="365">
        <f t="shared" si="34"/>
        <v>0</v>
      </c>
      <c r="W267" s="366">
        <f t="shared" si="35"/>
        <v>0</v>
      </c>
      <c r="X267" s="362">
        <f t="shared" si="31"/>
        <v>0</v>
      </c>
      <c r="Y267" s="294">
        <f t="shared" ca="1" si="32"/>
        <v>46104</v>
      </c>
      <c r="Z267" s="375"/>
      <c r="AA267" s="384"/>
      <c r="AB267" s="391">
        <f t="shared" ca="1" si="29"/>
        <v>-46104</v>
      </c>
    </row>
    <row r="268" spans="1:28" s="7" customFormat="1" ht="108" customHeight="1" x14ac:dyDescent="1.95">
      <c r="A268" s="23">
        <f>'MODIFICAR CODIGOS '!A268</f>
        <v>160048</v>
      </c>
      <c r="B268" s="270" t="str">
        <f>'MODIFICAR CODIGOS '!B268</f>
        <v>AGUA BRISA BOTELLON 5 GL TAPA VALVULA</v>
      </c>
      <c r="C268" s="284">
        <f>'MODIFICAR CODIGOS '!C268</f>
        <v>16</v>
      </c>
      <c r="D268" s="23">
        <f>'MODIFICAR CODIGOS '!D268</f>
        <v>16</v>
      </c>
      <c r="E268" s="23">
        <f>'MODIFICAR CODIGOS '!E268</f>
        <v>1</v>
      </c>
      <c r="F268" s="220"/>
      <c r="G268" s="147"/>
      <c r="H268" s="147">
        <v>16</v>
      </c>
      <c r="I268" s="147"/>
      <c r="J268" s="147"/>
      <c r="K268" s="219"/>
      <c r="L268" s="220"/>
      <c r="M268" s="147"/>
      <c r="N268" s="147"/>
      <c r="O268" s="219"/>
      <c r="P268" s="143"/>
      <c r="Q268" s="147"/>
      <c r="R268" s="141"/>
      <c r="S268" s="220"/>
      <c r="T268" s="219"/>
      <c r="U268" s="359">
        <f t="shared" si="33"/>
        <v>256</v>
      </c>
      <c r="V268" s="365">
        <f t="shared" si="34"/>
        <v>256</v>
      </c>
      <c r="W268" s="366">
        <f t="shared" si="35"/>
        <v>0</v>
      </c>
      <c r="X268" s="362">
        <f t="shared" si="31"/>
        <v>256</v>
      </c>
      <c r="Y268" s="294">
        <f t="shared" ca="1" si="32"/>
        <v>46104</v>
      </c>
      <c r="Z268" s="375"/>
      <c r="AA268" s="384"/>
      <c r="AB268" s="391">
        <f t="shared" ca="1" si="29"/>
        <v>-46104</v>
      </c>
    </row>
    <row r="269" spans="1:28" ht="107.4" x14ac:dyDescent="1.95">
      <c r="A269" s="23" t="s">
        <v>396</v>
      </c>
      <c r="B269" s="270"/>
      <c r="C269" s="318"/>
      <c r="D269" s="321"/>
      <c r="E269" s="319"/>
      <c r="F269" s="239"/>
      <c r="K269" s="240"/>
      <c r="L269" s="239"/>
      <c r="O269" s="240"/>
      <c r="S269" s="239"/>
      <c r="U269" s="348"/>
      <c r="V269" s="365" t="e">
        <f t="shared" si="34"/>
        <v>#DIV/0!</v>
      </c>
      <c r="W269" s="366" t="e">
        <f t="shared" si="35"/>
        <v>#DIV/0!</v>
      </c>
      <c r="X269" s="394"/>
      <c r="Y269" s="395"/>
      <c r="AA269" s="259"/>
      <c r="AB269" s="391">
        <f t="shared" si="29"/>
        <v>0</v>
      </c>
    </row>
    <row r="270" spans="1:28" s="7" customFormat="1" ht="108" hidden="1" customHeight="1" x14ac:dyDescent="1.95">
      <c r="A270" s="23">
        <f>'MODIFICAR CODIGOS '!A270</f>
        <v>0</v>
      </c>
      <c r="B270" s="270">
        <f>'MODIFICAR CODIGOS '!B270</f>
        <v>0</v>
      </c>
      <c r="C270" s="284">
        <f>'MODIFICAR CODIGOS '!C270</f>
        <v>0</v>
      </c>
      <c r="D270" s="320">
        <f>'MODIFICAR CODIGOS '!D270</f>
        <v>0</v>
      </c>
      <c r="E270" s="23">
        <f>'MODIFICAR CODIGOS '!E270</f>
        <v>1</v>
      </c>
      <c r="F270" s="220"/>
      <c r="G270" s="147"/>
      <c r="H270" s="147"/>
      <c r="I270" s="147"/>
      <c r="J270" s="147"/>
      <c r="K270" s="219"/>
      <c r="L270" s="220"/>
      <c r="M270" s="147"/>
      <c r="N270" s="147"/>
      <c r="O270" s="219"/>
      <c r="P270" s="143"/>
      <c r="Q270" s="147"/>
      <c r="R270" s="141"/>
      <c r="S270" s="220"/>
      <c r="T270" s="219"/>
      <c r="U270" s="359">
        <f t="shared" si="33"/>
        <v>0</v>
      </c>
      <c r="V270" s="365">
        <f t="shared" si="34"/>
        <v>0</v>
      </c>
      <c r="W270" s="366">
        <f t="shared" si="35"/>
        <v>0</v>
      </c>
      <c r="X270" s="362">
        <f t="shared" si="31"/>
        <v>0</v>
      </c>
      <c r="Y270" s="294">
        <f t="shared" ca="1" si="32"/>
        <v>46104</v>
      </c>
      <c r="Z270" s="375"/>
      <c r="AA270" s="249"/>
      <c r="AB270" s="391">
        <f t="shared" ca="1" si="29"/>
        <v>-46104</v>
      </c>
    </row>
    <row r="271" spans="1:28" s="7" customFormat="1" ht="108" hidden="1" customHeight="1" x14ac:dyDescent="1.95">
      <c r="A271" s="23">
        <f>'MODIFICAR CODIGOS '!A271</f>
        <v>0</v>
      </c>
      <c r="B271" s="270">
        <f>'MODIFICAR CODIGOS '!B271</f>
        <v>0</v>
      </c>
      <c r="C271" s="284">
        <f>'MODIFICAR CODIGOS '!C271</f>
        <v>0</v>
      </c>
      <c r="D271" s="23">
        <f>'MODIFICAR CODIGOS '!D271</f>
        <v>0</v>
      </c>
      <c r="E271" s="23">
        <f>'MODIFICAR CODIGOS '!E271</f>
        <v>1</v>
      </c>
      <c r="F271" s="220"/>
      <c r="G271" s="147"/>
      <c r="H271" s="147"/>
      <c r="I271" s="147"/>
      <c r="J271" s="147"/>
      <c r="K271" s="219"/>
      <c r="L271" s="220"/>
      <c r="M271" s="147"/>
      <c r="N271" s="147"/>
      <c r="O271" s="219"/>
      <c r="P271" s="143"/>
      <c r="Q271" s="147"/>
      <c r="R271" s="141"/>
      <c r="S271" s="220"/>
      <c r="T271" s="219"/>
      <c r="U271" s="359">
        <f t="shared" si="33"/>
        <v>0</v>
      </c>
      <c r="V271" s="365">
        <f t="shared" si="34"/>
        <v>0</v>
      </c>
      <c r="W271" s="366">
        <f t="shared" si="35"/>
        <v>0</v>
      </c>
      <c r="X271" s="362">
        <f t="shared" si="31"/>
        <v>0</v>
      </c>
      <c r="Y271" s="294">
        <f t="shared" ca="1" si="32"/>
        <v>46104</v>
      </c>
      <c r="Z271" s="375"/>
      <c r="AA271" s="249"/>
      <c r="AB271" s="391">
        <f t="shared" ca="1" si="29"/>
        <v>-46104</v>
      </c>
    </row>
    <row r="272" spans="1:28" s="7" customFormat="1" ht="108" hidden="1" customHeight="1" x14ac:dyDescent="1.95">
      <c r="A272" s="23">
        <f>'MODIFICAR CODIGOS '!A272</f>
        <v>0</v>
      </c>
      <c r="B272" s="270">
        <f>'MODIFICAR CODIGOS '!B272</f>
        <v>0</v>
      </c>
      <c r="C272" s="284">
        <f>'MODIFICAR CODIGOS '!C272</f>
        <v>0</v>
      </c>
      <c r="D272" s="23">
        <f>'MODIFICAR CODIGOS '!D272</f>
        <v>0</v>
      </c>
      <c r="E272" s="23">
        <f>'MODIFICAR CODIGOS '!E272</f>
        <v>2</v>
      </c>
      <c r="F272" s="220"/>
      <c r="G272" s="147"/>
      <c r="H272" s="147"/>
      <c r="I272" s="147"/>
      <c r="J272" s="147"/>
      <c r="K272" s="219"/>
      <c r="L272" s="220"/>
      <c r="M272" s="147"/>
      <c r="N272" s="147"/>
      <c r="O272" s="219"/>
      <c r="P272" s="143"/>
      <c r="Q272" s="147"/>
      <c r="R272" s="141"/>
      <c r="S272" s="220"/>
      <c r="T272" s="219"/>
      <c r="U272" s="359">
        <f t="shared" si="33"/>
        <v>0</v>
      </c>
      <c r="V272" s="365">
        <f t="shared" si="34"/>
        <v>0</v>
      </c>
      <c r="W272" s="366">
        <f t="shared" si="35"/>
        <v>0</v>
      </c>
      <c r="X272" s="362">
        <f t="shared" si="31"/>
        <v>0</v>
      </c>
      <c r="Y272" s="294">
        <f t="shared" ca="1" si="32"/>
        <v>46104</v>
      </c>
      <c r="Z272" s="375"/>
      <c r="AA272" s="249"/>
      <c r="AB272" s="391">
        <f t="shared" ca="1" si="29"/>
        <v>-46104</v>
      </c>
    </row>
    <row r="273" spans="1:28" s="7" customFormat="1" ht="108" customHeight="1" x14ac:dyDescent="1.95">
      <c r="A273" s="23" t="str">
        <f>'MODIFICAR CODIGOS '!A273</f>
        <v>*</v>
      </c>
      <c r="B273" s="271">
        <f>'MODIFICAR CODIGOS '!B273</f>
        <v>0</v>
      </c>
      <c r="C273" s="284">
        <f>'MODIFICAR CODIGOS '!C273</f>
        <v>0</v>
      </c>
      <c r="D273" s="23">
        <f>'MODIFICAR CODIGOS '!D273</f>
        <v>0</v>
      </c>
      <c r="E273" s="23">
        <f>'MODIFICAR CODIGOS '!E273</f>
        <v>1</v>
      </c>
      <c r="F273" s="220"/>
      <c r="G273" s="147"/>
      <c r="H273" s="147"/>
      <c r="I273" s="147"/>
      <c r="J273" s="147"/>
      <c r="K273" s="219"/>
      <c r="L273" s="220"/>
      <c r="M273" s="147"/>
      <c r="N273" s="147"/>
      <c r="O273" s="219"/>
      <c r="P273" s="143"/>
      <c r="Q273" s="147"/>
      <c r="R273" s="141"/>
      <c r="S273" s="220"/>
      <c r="T273" s="219"/>
      <c r="U273" s="359">
        <f t="shared" si="33"/>
        <v>0</v>
      </c>
      <c r="V273" s="365">
        <f t="shared" si="34"/>
        <v>0</v>
      </c>
      <c r="W273" s="366">
        <f t="shared" si="35"/>
        <v>0</v>
      </c>
      <c r="X273" s="362">
        <f t="shared" si="31"/>
        <v>0</v>
      </c>
      <c r="Y273" s="294">
        <f t="shared" ca="1" si="32"/>
        <v>46104</v>
      </c>
      <c r="Z273" s="375"/>
      <c r="AA273" s="249"/>
      <c r="AB273" s="391">
        <f t="shared" ca="1" si="29"/>
        <v>-46104</v>
      </c>
    </row>
    <row r="274" spans="1:28" s="7" customFormat="1" ht="108" customHeight="1" x14ac:dyDescent="1.95">
      <c r="A274" s="23">
        <f>'MODIFICAR CODIGOS '!A274</f>
        <v>135676</v>
      </c>
      <c r="B274" s="270" t="str">
        <f>'MODIFICAR CODIGOS '!B274</f>
        <v xml:space="preserve">COMBO AHORRO CCSO 2.5 LT </v>
      </c>
      <c r="C274" s="284">
        <f>'MODIFICAR CODIGOS '!C274</f>
        <v>180</v>
      </c>
      <c r="D274" s="23">
        <f>'MODIFICAR CODIGOS '!D274</f>
        <v>45</v>
      </c>
      <c r="E274" s="23">
        <f>'MODIFICAR CODIGOS '!E274</f>
        <v>2</v>
      </c>
      <c r="F274" s="220"/>
      <c r="G274" s="147"/>
      <c r="H274" s="147"/>
      <c r="I274" s="147"/>
      <c r="J274" s="147"/>
      <c r="K274" s="219"/>
      <c r="L274" s="220"/>
      <c r="M274" s="147"/>
      <c r="N274" s="147"/>
      <c r="O274" s="219"/>
      <c r="P274" s="143"/>
      <c r="Q274" s="147">
        <v>3</v>
      </c>
      <c r="R274" s="141"/>
      <c r="S274" s="220"/>
      <c r="T274" s="219"/>
      <c r="U274" s="359">
        <f t="shared" si="33"/>
        <v>3</v>
      </c>
      <c r="V274" s="365">
        <f t="shared" si="34"/>
        <v>3</v>
      </c>
      <c r="W274" s="366">
        <f t="shared" si="35"/>
        <v>0</v>
      </c>
      <c r="X274" s="362">
        <f t="shared" si="31"/>
        <v>3</v>
      </c>
      <c r="Y274" s="294">
        <f t="shared" ca="1" si="32"/>
        <v>46104</v>
      </c>
      <c r="Z274" s="375"/>
      <c r="AA274" s="384"/>
      <c r="AB274" s="391">
        <f t="shared" ca="1" si="29"/>
        <v>-46104</v>
      </c>
    </row>
    <row r="275" spans="1:28" s="7" customFormat="1" ht="108" hidden="1" customHeight="1" x14ac:dyDescent="1.95">
      <c r="A275" s="23">
        <f>'MODIFICAR CODIGOS '!A275</f>
        <v>0</v>
      </c>
      <c r="B275" s="270">
        <f>'MODIFICAR CODIGOS '!B275</f>
        <v>0</v>
      </c>
      <c r="C275" s="284">
        <f>'MODIFICAR CODIGOS '!C275</f>
        <v>0</v>
      </c>
      <c r="D275" s="23">
        <f>'MODIFICAR CODIGOS '!D275</f>
        <v>0</v>
      </c>
      <c r="E275" s="23">
        <f>'MODIFICAR CODIGOS '!E275</f>
        <v>2</v>
      </c>
      <c r="F275" s="220"/>
      <c r="G275" s="147"/>
      <c r="H275" s="147"/>
      <c r="I275" s="147"/>
      <c r="J275" s="147"/>
      <c r="K275" s="219"/>
      <c r="L275" s="220"/>
      <c r="M275" s="147"/>
      <c r="N275" s="147"/>
      <c r="O275" s="219"/>
      <c r="P275" s="143"/>
      <c r="Q275" s="147"/>
      <c r="R275" s="141"/>
      <c r="S275" s="220"/>
      <c r="T275" s="219"/>
      <c r="U275" s="359">
        <f t="shared" si="33"/>
        <v>0</v>
      </c>
      <c r="V275" s="365">
        <f t="shared" si="34"/>
        <v>0</v>
      </c>
      <c r="W275" s="366">
        <f t="shared" si="35"/>
        <v>0</v>
      </c>
      <c r="X275" s="362">
        <f t="shared" si="31"/>
        <v>0</v>
      </c>
      <c r="Y275" s="294">
        <f t="shared" ca="1" si="32"/>
        <v>46104</v>
      </c>
      <c r="Z275" s="375"/>
      <c r="AA275" s="249"/>
      <c r="AB275" s="391">
        <f t="shared" ca="1" si="29"/>
        <v>-46104</v>
      </c>
    </row>
    <row r="276" spans="1:28" s="7" customFormat="1" ht="108" hidden="1" customHeight="1" x14ac:dyDescent="1.95">
      <c r="A276" s="23">
        <f>'MODIFICAR CODIGOS '!A276</f>
        <v>0</v>
      </c>
      <c r="B276" s="270">
        <f>'MODIFICAR CODIGOS '!B276</f>
        <v>0</v>
      </c>
      <c r="C276" s="284">
        <f>'MODIFICAR CODIGOS '!C276</f>
        <v>0</v>
      </c>
      <c r="D276" s="23">
        <f>'MODIFICAR CODIGOS '!D276</f>
        <v>0</v>
      </c>
      <c r="E276" s="23">
        <f>'MODIFICAR CODIGOS '!E276</f>
        <v>2</v>
      </c>
      <c r="F276" s="220"/>
      <c r="G276" s="147"/>
      <c r="H276" s="147"/>
      <c r="I276" s="147"/>
      <c r="J276" s="147"/>
      <c r="K276" s="219"/>
      <c r="L276" s="220"/>
      <c r="M276" s="147"/>
      <c r="N276" s="147"/>
      <c r="O276" s="219"/>
      <c r="P276" s="143"/>
      <c r="Q276" s="147"/>
      <c r="R276" s="141"/>
      <c r="S276" s="220"/>
      <c r="T276" s="219"/>
      <c r="U276" s="359">
        <f t="shared" si="33"/>
        <v>0</v>
      </c>
      <c r="V276" s="365">
        <f t="shared" si="34"/>
        <v>0</v>
      </c>
      <c r="W276" s="366">
        <f t="shared" si="35"/>
        <v>0</v>
      </c>
      <c r="X276" s="362">
        <f t="shared" si="31"/>
        <v>0</v>
      </c>
      <c r="Y276" s="294">
        <f t="shared" ca="1" si="32"/>
        <v>46104</v>
      </c>
      <c r="Z276" s="375"/>
      <c r="AA276" s="249"/>
      <c r="AB276" s="391">
        <f t="shared" ca="1" si="29"/>
        <v>-46104</v>
      </c>
    </row>
    <row r="277" spans="1:28" s="7" customFormat="1" ht="108" customHeight="1" x14ac:dyDescent="1.95">
      <c r="A277" s="23">
        <f>'MODIFICAR CODIGOS '!A277</f>
        <v>92787</v>
      </c>
      <c r="B277" s="270" t="str">
        <f>'MODIFICAR CODIGOS '!B277</f>
        <v>2 PK BRISA MANZANA 1.5L</v>
      </c>
      <c r="C277" s="284">
        <f>'MODIFICAR CODIGOS '!C277</f>
        <v>260</v>
      </c>
      <c r="D277" s="23">
        <f>'MODIFICAR CODIGOS '!D277</f>
        <v>65</v>
      </c>
      <c r="E277" s="23">
        <f>'MODIFICAR CODIGOS '!E277</f>
        <v>2</v>
      </c>
      <c r="F277" s="220"/>
      <c r="G277" s="147"/>
      <c r="H277" s="147"/>
      <c r="I277" s="147"/>
      <c r="J277" s="147"/>
      <c r="K277" s="219"/>
      <c r="L277" s="220"/>
      <c r="M277" s="147"/>
      <c r="N277" s="147"/>
      <c r="O277" s="219"/>
      <c r="P277" s="143"/>
      <c r="Q277" s="147"/>
      <c r="R277" s="141"/>
      <c r="S277" s="220"/>
      <c r="T277" s="219"/>
      <c r="U277" s="359">
        <f t="shared" si="33"/>
        <v>0</v>
      </c>
      <c r="V277" s="365">
        <f t="shared" si="34"/>
        <v>0</v>
      </c>
      <c r="W277" s="366">
        <f t="shared" si="35"/>
        <v>0</v>
      </c>
      <c r="X277" s="362">
        <f t="shared" si="31"/>
        <v>0</v>
      </c>
      <c r="Y277" s="294">
        <f t="shared" ca="1" si="32"/>
        <v>46104</v>
      </c>
      <c r="Z277" s="375"/>
      <c r="AA277" s="384"/>
      <c r="AB277" s="391">
        <f t="shared" ca="1" si="29"/>
        <v>-46104</v>
      </c>
    </row>
    <row r="278" spans="1:28" s="7" customFormat="1" ht="108" hidden="1" customHeight="1" x14ac:dyDescent="1.95">
      <c r="A278" s="23">
        <f>'MODIFICAR CODIGOS '!A278</f>
        <v>0</v>
      </c>
      <c r="B278" s="271">
        <f>'MODIFICAR CODIGOS '!B278</f>
        <v>0</v>
      </c>
      <c r="C278" s="284">
        <f>'MODIFICAR CODIGOS '!C278</f>
        <v>0</v>
      </c>
      <c r="D278" s="23">
        <f>'MODIFICAR CODIGOS '!D278</f>
        <v>0</v>
      </c>
      <c r="E278" s="23">
        <f>'MODIFICAR CODIGOS '!E278</f>
        <v>1</v>
      </c>
      <c r="F278" s="220"/>
      <c r="G278" s="147"/>
      <c r="H278" s="147"/>
      <c r="I278" s="147"/>
      <c r="J278" s="147"/>
      <c r="K278" s="219"/>
      <c r="L278" s="220"/>
      <c r="M278" s="147"/>
      <c r="N278" s="147"/>
      <c r="O278" s="219"/>
      <c r="P278" s="143"/>
      <c r="Q278" s="147"/>
      <c r="R278" s="141"/>
      <c r="S278" s="220"/>
      <c r="T278" s="219"/>
      <c r="U278" s="359">
        <f t="shared" si="33"/>
        <v>0</v>
      </c>
      <c r="V278" s="365">
        <f t="shared" si="34"/>
        <v>0</v>
      </c>
      <c r="W278" s="366">
        <f t="shared" si="35"/>
        <v>0</v>
      </c>
      <c r="X278" s="362">
        <f t="shared" si="31"/>
        <v>0</v>
      </c>
      <c r="Y278" s="294">
        <f t="shared" ca="1" si="32"/>
        <v>46104</v>
      </c>
      <c r="Z278" s="375"/>
      <c r="AA278" s="249"/>
      <c r="AB278" s="391">
        <f t="shared" ca="1" si="29"/>
        <v>-46104</v>
      </c>
    </row>
    <row r="279" spans="1:28" s="7" customFormat="1" ht="108" customHeight="1" x14ac:dyDescent="1.95">
      <c r="A279" s="23" t="str">
        <f>'MODIFICAR CODIGOS '!A279</f>
        <v>*</v>
      </c>
      <c r="B279" s="271">
        <f>'MODIFICAR CODIGOS '!B279</f>
        <v>0</v>
      </c>
      <c r="C279" s="284">
        <f>'MODIFICAR CODIGOS '!C279</f>
        <v>0</v>
      </c>
      <c r="D279" s="23">
        <f>'MODIFICAR CODIGOS '!D279</f>
        <v>0</v>
      </c>
      <c r="E279" s="23">
        <f>'MODIFICAR CODIGOS '!E279</f>
        <v>1</v>
      </c>
      <c r="F279" s="220"/>
      <c r="G279" s="147"/>
      <c r="H279" s="147"/>
      <c r="I279" s="147"/>
      <c r="J279" s="147"/>
      <c r="K279" s="219"/>
      <c r="L279" s="220"/>
      <c r="M279" s="147"/>
      <c r="N279" s="147"/>
      <c r="O279" s="219"/>
      <c r="P279" s="143"/>
      <c r="Q279" s="147"/>
      <c r="R279" s="141"/>
      <c r="S279" s="220"/>
      <c r="T279" s="219"/>
      <c r="U279" s="359">
        <f t="shared" si="33"/>
        <v>0</v>
      </c>
      <c r="V279" s="365">
        <f t="shared" si="34"/>
        <v>0</v>
      </c>
      <c r="W279" s="366">
        <f t="shared" si="35"/>
        <v>0</v>
      </c>
      <c r="X279" s="362">
        <f t="shared" si="31"/>
        <v>0</v>
      </c>
      <c r="Y279" s="294">
        <f t="shared" ca="1" si="32"/>
        <v>46104</v>
      </c>
      <c r="Z279" s="375"/>
      <c r="AA279" s="249"/>
      <c r="AB279" s="391">
        <f t="shared" ca="1" si="29"/>
        <v>-46104</v>
      </c>
    </row>
    <row r="280" spans="1:28" s="7" customFormat="1" ht="108" customHeight="1" x14ac:dyDescent="1.95">
      <c r="A280" s="23">
        <f>'MODIFICAR CODIGOS '!A280</f>
        <v>135772</v>
      </c>
      <c r="B280" s="270" t="str">
        <f>'MODIFICAR CODIGOS '!B280</f>
        <v>2 PK CCSA 1.5 LT</v>
      </c>
      <c r="C280" s="284">
        <f>'MODIFICAR CODIGOS '!C280</f>
        <v>260</v>
      </c>
      <c r="D280" s="23">
        <f>'MODIFICAR CODIGOS '!D280</f>
        <v>65</v>
      </c>
      <c r="E280" s="23">
        <f>'MODIFICAR CODIGOS '!E280</f>
        <v>2</v>
      </c>
      <c r="F280" s="220"/>
      <c r="G280" s="147"/>
      <c r="H280" s="147"/>
      <c r="I280" s="147"/>
      <c r="J280" s="147"/>
      <c r="K280" s="219"/>
      <c r="L280" s="220"/>
      <c r="M280" s="147"/>
      <c r="N280" s="147"/>
      <c r="O280" s="219"/>
      <c r="P280" s="143"/>
      <c r="Q280" s="147">
        <v>1</v>
      </c>
      <c r="R280" s="141"/>
      <c r="S280" s="220"/>
      <c r="T280" s="219"/>
      <c r="U280" s="359">
        <f t="shared" si="33"/>
        <v>1</v>
      </c>
      <c r="V280" s="365">
        <f t="shared" si="34"/>
        <v>1</v>
      </c>
      <c r="W280" s="366">
        <f t="shared" si="35"/>
        <v>0</v>
      </c>
      <c r="X280" s="362">
        <f t="shared" si="31"/>
        <v>1</v>
      </c>
      <c r="Y280" s="294">
        <f t="shared" ca="1" si="32"/>
        <v>46104</v>
      </c>
      <c r="Z280" s="375"/>
      <c r="AA280" s="384"/>
      <c r="AB280" s="391">
        <f t="shared" ca="1" si="29"/>
        <v>-46104</v>
      </c>
    </row>
    <row r="281" spans="1:28" s="7" customFormat="1" ht="108" customHeight="1" x14ac:dyDescent="1.95">
      <c r="A281" s="23">
        <f>'MODIFICAR CODIGOS '!A281</f>
        <v>135685</v>
      </c>
      <c r="B281" s="270" t="str">
        <f>'MODIFICAR CODIGOS '!B281</f>
        <v>2 PC CCSO 1.5LT</v>
      </c>
      <c r="C281" s="284">
        <f>'MODIFICAR CODIGOS '!C281</f>
        <v>260</v>
      </c>
      <c r="D281" s="23">
        <f>'MODIFICAR CODIGOS '!D281</f>
        <v>65</v>
      </c>
      <c r="E281" s="23">
        <f>'MODIFICAR CODIGOS '!E281</f>
        <v>2</v>
      </c>
      <c r="F281" s="220"/>
      <c r="G281" s="147"/>
      <c r="H281" s="147"/>
      <c r="I281" s="147"/>
      <c r="J281" s="147"/>
      <c r="K281" s="219"/>
      <c r="L281" s="220"/>
      <c r="M281" s="147"/>
      <c r="N281" s="147"/>
      <c r="O281" s="219"/>
      <c r="P281" s="143"/>
      <c r="Q281" s="147">
        <v>21</v>
      </c>
      <c r="R281" s="141"/>
      <c r="S281" s="220"/>
      <c r="T281" s="219"/>
      <c r="U281" s="359">
        <f t="shared" si="33"/>
        <v>21</v>
      </c>
      <c r="V281" s="365">
        <f t="shared" si="34"/>
        <v>21</v>
      </c>
      <c r="W281" s="366">
        <f t="shared" si="35"/>
        <v>0</v>
      </c>
      <c r="X281" s="362">
        <f t="shared" si="31"/>
        <v>21</v>
      </c>
      <c r="Y281" s="294">
        <f t="shared" ca="1" si="32"/>
        <v>46104</v>
      </c>
      <c r="Z281" s="375"/>
      <c r="AA281" s="384"/>
      <c r="AB281" s="391">
        <f t="shared" ref="AB281:AB344" ca="1" si="36">AA281-Y281</f>
        <v>-46104</v>
      </c>
    </row>
    <row r="282" spans="1:28" s="7" customFormat="1" ht="108" customHeight="1" x14ac:dyDescent="1.95">
      <c r="A282" s="23" t="str">
        <f>'MODIFICAR CODIGOS '!A282</f>
        <v>*</v>
      </c>
      <c r="B282" s="271">
        <f>'MODIFICAR CODIGOS '!B282</f>
        <v>0</v>
      </c>
      <c r="C282" s="284">
        <f>'MODIFICAR CODIGOS '!C282</f>
        <v>0</v>
      </c>
      <c r="D282" s="23">
        <f>'MODIFICAR CODIGOS '!D282</f>
        <v>0</v>
      </c>
      <c r="E282" s="23">
        <f>'MODIFICAR CODIGOS '!E282</f>
        <v>1</v>
      </c>
      <c r="F282" s="220"/>
      <c r="G282" s="147"/>
      <c r="H282" s="147"/>
      <c r="I282" s="147"/>
      <c r="J282" s="147"/>
      <c r="K282" s="219"/>
      <c r="L282" s="220"/>
      <c r="M282" s="147"/>
      <c r="N282" s="147"/>
      <c r="O282" s="219"/>
      <c r="P282" s="143"/>
      <c r="Q282" s="147"/>
      <c r="R282" s="141"/>
      <c r="S282" s="220"/>
      <c r="T282" s="219"/>
      <c r="U282" s="359">
        <f t="shared" si="33"/>
        <v>0</v>
      </c>
      <c r="V282" s="365">
        <f t="shared" si="34"/>
        <v>0</v>
      </c>
      <c r="W282" s="366">
        <f t="shared" si="35"/>
        <v>0</v>
      </c>
      <c r="X282" s="362">
        <f t="shared" si="31"/>
        <v>0</v>
      </c>
      <c r="Y282" s="294">
        <f t="shared" ca="1" si="32"/>
        <v>46104</v>
      </c>
      <c r="Z282" s="375"/>
      <c r="AA282" s="249"/>
      <c r="AB282" s="391">
        <f t="shared" ca="1" si="36"/>
        <v>-46104</v>
      </c>
    </row>
    <row r="283" spans="1:28" s="7" customFormat="1" ht="108" hidden="1" customHeight="1" x14ac:dyDescent="1.95">
      <c r="A283" s="23">
        <f>'MODIFICAR CODIGOS '!A283</f>
        <v>0</v>
      </c>
      <c r="B283" s="271">
        <f>'MODIFICAR CODIGOS '!B283</f>
        <v>0</v>
      </c>
      <c r="C283" s="284">
        <f>'MODIFICAR CODIGOS '!C283</f>
        <v>0</v>
      </c>
      <c r="D283" s="23">
        <f>'MODIFICAR CODIGOS '!D283</f>
        <v>0</v>
      </c>
      <c r="E283" s="23">
        <f>'MODIFICAR CODIGOS '!E283</f>
        <v>1</v>
      </c>
      <c r="F283" s="220"/>
      <c r="G283" s="147"/>
      <c r="H283" s="147"/>
      <c r="I283" s="147"/>
      <c r="J283" s="147"/>
      <c r="K283" s="219"/>
      <c r="L283" s="220"/>
      <c r="M283" s="147"/>
      <c r="N283" s="147"/>
      <c r="O283" s="219"/>
      <c r="P283" s="143"/>
      <c r="Q283" s="147"/>
      <c r="R283" s="141"/>
      <c r="S283" s="220"/>
      <c r="T283" s="219"/>
      <c r="U283" s="359">
        <f t="shared" si="33"/>
        <v>0</v>
      </c>
      <c r="V283" s="365">
        <f t="shared" si="34"/>
        <v>0</v>
      </c>
      <c r="W283" s="366">
        <f t="shared" si="35"/>
        <v>0</v>
      </c>
      <c r="X283" s="362">
        <f t="shared" si="31"/>
        <v>0</v>
      </c>
      <c r="Y283" s="294">
        <f t="shared" ca="1" si="32"/>
        <v>46104</v>
      </c>
      <c r="Z283" s="375"/>
      <c r="AA283" s="249"/>
      <c r="AB283" s="391">
        <f t="shared" ca="1" si="36"/>
        <v>-46104</v>
      </c>
    </row>
    <row r="284" spans="1:28" s="7" customFormat="1" ht="108" hidden="1" customHeight="1" x14ac:dyDescent="1.95">
      <c r="A284" s="23">
        <f>'MODIFICAR CODIGOS '!A284</f>
        <v>0</v>
      </c>
      <c r="B284" s="271">
        <f>'MODIFICAR CODIGOS '!B284</f>
        <v>0</v>
      </c>
      <c r="C284" s="284">
        <f>'MODIFICAR CODIGOS '!C284</f>
        <v>0</v>
      </c>
      <c r="D284" s="23">
        <f>'MODIFICAR CODIGOS '!D284</f>
        <v>0</v>
      </c>
      <c r="E284" s="23">
        <f>'MODIFICAR CODIGOS '!E284</f>
        <v>1</v>
      </c>
      <c r="F284" s="220"/>
      <c r="G284" s="147"/>
      <c r="H284" s="147"/>
      <c r="I284" s="147"/>
      <c r="J284" s="147"/>
      <c r="K284" s="219"/>
      <c r="L284" s="220"/>
      <c r="M284" s="147"/>
      <c r="N284" s="147"/>
      <c r="O284" s="219"/>
      <c r="P284" s="143"/>
      <c r="Q284" s="147"/>
      <c r="R284" s="141"/>
      <c r="S284" s="220"/>
      <c r="T284" s="219"/>
      <c r="U284" s="359">
        <f t="shared" si="33"/>
        <v>0</v>
      </c>
      <c r="V284" s="365">
        <f t="shared" si="34"/>
        <v>0</v>
      </c>
      <c r="W284" s="366">
        <f t="shared" si="35"/>
        <v>0</v>
      </c>
      <c r="X284" s="362">
        <f t="shared" si="31"/>
        <v>0</v>
      </c>
      <c r="Y284" s="294">
        <f t="shared" ca="1" si="32"/>
        <v>46104</v>
      </c>
      <c r="Z284" s="375"/>
      <c r="AA284" s="249"/>
      <c r="AB284" s="391">
        <f t="shared" ca="1" si="36"/>
        <v>-46104</v>
      </c>
    </row>
    <row r="285" spans="1:28" s="7" customFormat="1" ht="108" customHeight="1" x14ac:dyDescent="1.95">
      <c r="A285" s="23" t="str">
        <f>'MODIFICAR CODIGOS '!A285</f>
        <v>*</v>
      </c>
      <c r="B285" s="271">
        <f>'MODIFICAR CODIGOS '!B285</f>
        <v>0</v>
      </c>
      <c r="C285" s="284">
        <f>'MODIFICAR CODIGOS '!C285</f>
        <v>0</v>
      </c>
      <c r="D285" s="23">
        <f>'MODIFICAR CODIGOS '!D285</f>
        <v>0</v>
      </c>
      <c r="E285" s="23">
        <f>'MODIFICAR CODIGOS '!E285</f>
        <v>1</v>
      </c>
      <c r="F285" s="220"/>
      <c r="G285" s="147"/>
      <c r="H285" s="147"/>
      <c r="I285" s="147"/>
      <c r="J285" s="147"/>
      <c r="K285" s="219"/>
      <c r="L285" s="220"/>
      <c r="M285" s="147"/>
      <c r="N285" s="147"/>
      <c r="O285" s="219"/>
      <c r="P285" s="143"/>
      <c r="Q285" s="147"/>
      <c r="R285" s="141"/>
      <c r="S285" s="220"/>
      <c r="T285" s="219"/>
      <c r="U285" s="359">
        <f t="shared" si="33"/>
        <v>0</v>
      </c>
      <c r="V285" s="365">
        <f t="shared" si="34"/>
        <v>0</v>
      </c>
      <c r="W285" s="366">
        <f t="shared" si="35"/>
        <v>0</v>
      </c>
      <c r="X285" s="362">
        <f t="shared" si="31"/>
        <v>0</v>
      </c>
      <c r="Y285" s="294">
        <f t="shared" ca="1" si="32"/>
        <v>46104</v>
      </c>
      <c r="Z285" s="375"/>
      <c r="AA285" s="249"/>
      <c r="AB285" s="391">
        <f t="shared" ca="1" si="36"/>
        <v>-46104</v>
      </c>
    </row>
    <row r="286" spans="1:28" s="7" customFormat="1" ht="108" customHeight="1" x14ac:dyDescent="1.95">
      <c r="A286" s="23">
        <f>'MODIFICAR CODIGOS '!A286</f>
        <v>120120</v>
      </c>
      <c r="B286" s="270" t="str">
        <f>'MODIFICAR CODIGOS '!B286</f>
        <v>2 PK FRESH CITRUS 2.5 L</v>
      </c>
      <c r="C286" s="284">
        <f>'MODIFICAR CODIGOS '!C286</f>
        <v>135</v>
      </c>
      <c r="D286" s="23">
        <f>'MODIFICAR CODIGOS '!D286</f>
        <v>45</v>
      </c>
      <c r="E286" s="23">
        <f>'MODIFICAR CODIGOS '!E286</f>
        <v>2</v>
      </c>
      <c r="F286" s="220"/>
      <c r="G286" s="147"/>
      <c r="H286" s="147"/>
      <c r="I286" s="147"/>
      <c r="J286" s="147"/>
      <c r="K286" s="219"/>
      <c r="L286" s="220"/>
      <c r="M286" s="147"/>
      <c r="N286" s="147"/>
      <c r="O286" s="219"/>
      <c r="P286" s="143"/>
      <c r="Q286" s="147">
        <v>43</v>
      </c>
      <c r="R286" s="141"/>
      <c r="S286" s="220"/>
      <c r="T286" s="219"/>
      <c r="U286" s="359">
        <f t="shared" si="33"/>
        <v>43</v>
      </c>
      <c r="V286" s="365">
        <f t="shared" si="34"/>
        <v>43</v>
      </c>
      <c r="W286" s="366">
        <f t="shared" si="35"/>
        <v>0</v>
      </c>
      <c r="X286" s="362">
        <f t="shared" si="31"/>
        <v>43</v>
      </c>
      <c r="Y286" s="294">
        <f t="shared" ca="1" si="32"/>
        <v>46104</v>
      </c>
      <c r="Z286" s="375"/>
      <c r="AA286" s="384"/>
      <c r="AB286" s="391">
        <f t="shared" ca="1" si="36"/>
        <v>-46104</v>
      </c>
    </row>
    <row r="287" spans="1:28" s="7" customFormat="1" ht="108" hidden="1" customHeight="1" x14ac:dyDescent="1.95">
      <c r="A287" s="23">
        <f>'MODIFICAR CODIGOS '!A287</f>
        <v>0</v>
      </c>
      <c r="B287" s="270">
        <f>'MODIFICAR CODIGOS '!B287</f>
        <v>0</v>
      </c>
      <c r="C287" s="284">
        <f>'MODIFICAR CODIGOS '!C287</f>
        <v>0</v>
      </c>
      <c r="D287" s="23">
        <f>'MODIFICAR CODIGOS '!D287</f>
        <v>0</v>
      </c>
      <c r="E287" s="23">
        <f>'MODIFICAR CODIGOS '!E287</f>
        <v>6</v>
      </c>
      <c r="F287" s="220"/>
      <c r="G287" s="147"/>
      <c r="H287" s="147"/>
      <c r="I287" s="147"/>
      <c r="J287" s="147"/>
      <c r="K287" s="219"/>
      <c r="L287" s="220"/>
      <c r="M287" s="147"/>
      <c r="N287" s="147"/>
      <c r="O287" s="219"/>
      <c r="P287" s="143"/>
      <c r="Q287" s="147"/>
      <c r="R287" s="141"/>
      <c r="S287" s="220"/>
      <c r="T287" s="219"/>
      <c r="U287" s="359">
        <f t="shared" si="33"/>
        <v>0</v>
      </c>
      <c r="V287" s="365">
        <f t="shared" si="34"/>
        <v>0</v>
      </c>
      <c r="W287" s="366">
        <f t="shared" si="35"/>
        <v>0</v>
      </c>
      <c r="X287" s="362">
        <f t="shared" si="31"/>
        <v>0</v>
      </c>
      <c r="Y287" s="294">
        <f t="shared" ca="1" si="32"/>
        <v>46104</v>
      </c>
      <c r="Z287" s="375"/>
      <c r="AA287" s="384"/>
      <c r="AB287" s="391">
        <f t="shared" ca="1" si="36"/>
        <v>-46104</v>
      </c>
    </row>
    <row r="288" spans="1:28" s="7" customFormat="1" ht="108" hidden="1" customHeight="1" x14ac:dyDescent="1.95">
      <c r="A288" s="23">
        <f>'MODIFICAR CODIGOS '!A288</f>
        <v>0</v>
      </c>
      <c r="B288" s="270">
        <f>'MODIFICAR CODIGOS '!B288</f>
        <v>0</v>
      </c>
      <c r="C288" s="284">
        <f>'MODIFICAR CODIGOS '!C288</f>
        <v>0</v>
      </c>
      <c r="D288" s="23">
        <f>'MODIFICAR CODIGOS '!D288</f>
        <v>0</v>
      </c>
      <c r="E288" s="23">
        <f>'MODIFICAR CODIGOS '!E288</f>
        <v>12</v>
      </c>
      <c r="F288" s="220"/>
      <c r="G288" s="147"/>
      <c r="H288" s="147"/>
      <c r="I288" s="147"/>
      <c r="J288" s="147"/>
      <c r="K288" s="219"/>
      <c r="L288" s="220"/>
      <c r="M288" s="147"/>
      <c r="N288" s="147"/>
      <c r="O288" s="219"/>
      <c r="P288" s="143"/>
      <c r="Q288" s="147"/>
      <c r="R288" s="141"/>
      <c r="S288" s="220"/>
      <c r="T288" s="219"/>
      <c r="U288" s="359">
        <f t="shared" si="33"/>
        <v>0</v>
      </c>
      <c r="V288" s="365">
        <f t="shared" si="34"/>
        <v>0</v>
      </c>
      <c r="W288" s="366">
        <f t="shared" si="35"/>
        <v>0</v>
      </c>
      <c r="X288" s="362">
        <f t="shared" si="31"/>
        <v>0</v>
      </c>
      <c r="Y288" s="294">
        <f t="shared" ca="1" si="32"/>
        <v>46104</v>
      </c>
      <c r="Z288" s="375"/>
      <c r="AA288" s="249"/>
      <c r="AB288" s="391">
        <f t="shared" ca="1" si="36"/>
        <v>-46104</v>
      </c>
    </row>
    <row r="289" spans="1:28" s="7" customFormat="1" ht="108" hidden="1" customHeight="1" x14ac:dyDescent="1.95">
      <c r="A289" s="23">
        <f>'MODIFICAR CODIGOS '!A289</f>
        <v>0</v>
      </c>
      <c r="B289" s="271">
        <f>'MODIFICAR CODIGOS '!B289</f>
        <v>0</v>
      </c>
      <c r="C289" s="284">
        <f>'MODIFICAR CODIGOS '!C289</f>
        <v>0</v>
      </c>
      <c r="D289" s="23">
        <f>'MODIFICAR CODIGOS '!D289</f>
        <v>0</v>
      </c>
      <c r="E289" s="23">
        <f>'MODIFICAR CODIGOS '!E289</f>
        <v>1</v>
      </c>
      <c r="F289" s="220"/>
      <c r="G289" s="147"/>
      <c r="H289" s="147"/>
      <c r="I289" s="147"/>
      <c r="J289" s="147"/>
      <c r="K289" s="219"/>
      <c r="L289" s="220"/>
      <c r="M289" s="147"/>
      <c r="N289" s="147"/>
      <c r="O289" s="219"/>
      <c r="P289" s="143"/>
      <c r="Q289" s="147"/>
      <c r="R289" s="141"/>
      <c r="S289" s="220"/>
      <c r="T289" s="219"/>
      <c r="U289" s="359">
        <f t="shared" si="33"/>
        <v>0</v>
      </c>
      <c r="V289" s="365">
        <f t="shared" si="34"/>
        <v>0</v>
      </c>
      <c r="W289" s="366">
        <f t="shared" si="35"/>
        <v>0</v>
      </c>
      <c r="X289" s="362">
        <f t="shared" si="31"/>
        <v>0</v>
      </c>
      <c r="Y289" s="294">
        <f t="shared" ca="1" si="32"/>
        <v>46104</v>
      </c>
      <c r="Z289" s="375"/>
      <c r="AA289" s="249"/>
      <c r="AB289" s="391">
        <f t="shared" ca="1" si="36"/>
        <v>-46104</v>
      </c>
    </row>
    <row r="290" spans="1:28" s="7" customFormat="1" ht="108" hidden="1" customHeight="1" x14ac:dyDescent="1.95">
      <c r="A290" s="23">
        <f>'MODIFICAR CODIGOS '!A290</f>
        <v>0</v>
      </c>
      <c r="B290" s="270">
        <f>'MODIFICAR CODIGOS '!B290</f>
        <v>0</v>
      </c>
      <c r="C290" s="284">
        <f>'MODIFICAR CODIGOS '!C290</f>
        <v>0</v>
      </c>
      <c r="D290" s="23">
        <f>'MODIFICAR CODIGOS '!D290</f>
        <v>0</v>
      </c>
      <c r="E290" s="23">
        <f>'MODIFICAR CODIGOS '!E290</f>
        <v>12</v>
      </c>
      <c r="F290" s="220"/>
      <c r="G290" s="147"/>
      <c r="H290" s="147"/>
      <c r="I290" s="147"/>
      <c r="J290" s="147"/>
      <c r="K290" s="219"/>
      <c r="L290" s="220"/>
      <c r="M290" s="147"/>
      <c r="N290" s="147"/>
      <c r="O290" s="219"/>
      <c r="P290" s="143"/>
      <c r="Q290" s="147"/>
      <c r="R290" s="141"/>
      <c r="S290" s="220"/>
      <c r="T290" s="219"/>
      <c r="U290" s="359">
        <f t="shared" si="33"/>
        <v>0</v>
      </c>
      <c r="V290" s="365">
        <f t="shared" si="34"/>
        <v>0</v>
      </c>
      <c r="W290" s="366">
        <f t="shared" si="35"/>
        <v>0</v>
      </c>
      <c r="X290" s="362">
        <f t="shared" si="31"/>
        <v>0</v>
      </c>
      <c r="Y290" s="294">
        <f t="shared" ca="1" si="32"/>
        <v>46104</v>
      </c>
      <c r="Z290" s="375"/>
      <c r="AA290" s="249"/>
      <c r="AB290" s="391">
        <f t="shared" ca="1" si="36"/>
        <v>-46104</v>
      </c>
    </row>
    <row r="291" spans="1:28" s="7" customFormat="1" ht="108" customHeight="1" x14ac:dyDescent="1.95">
      <c r="A291" s="23" t="str">
        <f>'MODIFICAR CODIGOS '!A291</f>
        <v>*</v>
      </c>
      <c r="B291" s="271">
        <f>'MODIFICAR CODIGOS '!B291</f>
        <v>0</v>
      </c>
      <c r="C291" s="284">
        <f>'MODIFICAR CODIGOS '!C291</f>
        <v>0</v>
      </c>
      <c r="D291" s="23">
        <f>'MODIFICAR CODIGOS '!D291</f>
        <v>0</v>
      </c>
      <c r="E291" s="23">
        <f>'MODIFICAR CODIGOS '!E291</f>
        <v>1</v>
      </c>
      <c r="F291" s="220"/>
      <c r="G291" s="147"/>
      <c r="H291" s="147"/>
      <c r="I291" s="147"/>
      <c r="J291" s="147"/>
      <c r="K291" s="219"/>
      <c r="L291" s="220"/>
      <c r="M291" s="147"/>
      <c r="N291" s="147"/>
      <c r="O291" s="219"/>
      <c r="P291" s="143"/>
      <c r="Q291" s="147"/>
      <c r="R291" s="141"/>
      <c r="S291" s="220"/>
      <c r="T291" s="219"/>
      <c r="U291" s="359">
        <f t="shared" si="33"/>
        <v>0</v>
      </c>
      <c r="V291" s="365">
        <f t="shared" si="34"/>
        <v>0</v>
      </c>
      <c r="W291" s="366">
        <f t="shared" si="35"/>
        <v>0</v>
      </c>
      <c r="X291" s="362">
        <f t="shared" si="31"/>
        <v>0</v>
      </c>
      <c r="Y291" s="294">
        <f t="shared" ca="1" si="32"/>
        <v>46104</v>
      </c>
      <c r="Z291" s="375"/>
      <c r="AA291" s="249"/>
      <c r="AB291" s="391">
        <f t="shared" ca="1" si="36"/>
        <v>-46104</v>
      </c>
    </row>
    <row r="292" spans="1:28" ht="108" hidden="1" customHeight="1" x14ac:dyDescent="1.95">
      <c r="A292" s="23">
        <f>'MODIFICAR CODIGOS '!A292</f>
        <v>0</v>
      </c>
      <c r="B292" s="271">
        <f>'MODIFICAR CODIGOS '!B292</f>
        <v>0</v>
      </c>
      <c r="C292" s="284">
        <f>'MODIFICAR CODIGOS '!C292</f>
        <v>0</v>
      </c>
      <c r="D292" s="23">
        <f>'MODIFICAR CODIGOS '!D292</f>
        <v>0</v>
      </c>
      <c r="E292" s="23">
        <f>'MODIFICAR CODIGOS '!E292</f>
        <v>1</v>
      </c>
      <c r="F292" s="220"/>
      <c r="G292" s="147"/>
      <c r="H292" s="147"/>
      <c r="I292" s="147"/>
      <c r="J292" s="147"/>
      <c r="K292" s="219"/>
      <c r="L292" s="220"/>
      <c r="M292" s="147"/>
      <c r="N292" s="147"/>
      <c r="O292" s="219"/>
      <c r="P292" s="143"/>
      <c r="Q292" s="147"/>
      <c r="R292" s="141"/>
      <c r="S292" s="220"/>
      <c r="T292" s="219"/>
      <c r="U292" s="359">
        <f t="shared" si="33"/>
        <v>0</v>
      </c>
      <c r="V292" s="365">
        <f t="shared" si="34"/>
        <v>0</v>
      </c>
      <c r="W292" s="366">
        <f t="shared" si="35"/>
        <v>0</v>
      </c>
      <c r="X292" s="362">
        <f t="shared" si="31"/>
        <v>0</v>
      </c>
      <c r="Y292" s="294">
        <f t="shared" ca="1" si="32"/>
        <v>46104</v>
      </c>
      <c r="Z292" s="375"/>
      <c r="AA292" s="249"/>
      <c r="AB292" s="391">
        <f t="shared" ca="1" si="36"/>
        <v>-46104</v>
      </c>
    </row>
    <row r="293" spans="1:28" ht="108" hidden="1" customHeight="1" x14ac:dyDescent="1.95">
      <c r="A293" s="23">
        <f>'MODIFICAR CODIGOS '!A293</f>
        <v>0</v>
      </c>
      <c r="B293" s="271">
        <f>'MODIFICAR CODIGOS '!B293</f>
        <v>0</v>
      </c>
      <c r="C293" s="284">
        <f>'MODIFICAR CODIGOS '!C293</f>
        <v>0</v>
      </c>
      <c r="D293" s="23">
        <f>'MODIFICAR CODIGOS '!D293</f>
        <v>0</v>
      </c>
      <c r="E293" s="23">
        <f>'MODIFICAR CODIGOS '!E293</f>
        <v>1</v>
      </c>
      <c r="F293" s="220"/>
      <c r="G293" s="147"/>
      <c r="H293" s="147"/>
      <c r="I293" s="147"/>
      <c r="J293" s="147"/>
      <c r="K293" s="219"/>
      <c r="L293" s="220"/>
      <c r="M293" s="147"/>
      <c r="N293" s="147"/>
      <c r="O293" s="219"/>
      <c r="P293" s="143"/>
      <c r="Q293" s="147"/>
      <c r="R293" s="141"/>
      <c r="S293" s="220"/>
      <c r="T293" s="219"/>
      <c r="U293" s="359">
        <f t="shared" si="33"/>
        <v>0</v>
      </c>
      <c r="V293" s="365">
        <f t="shared" si="34"/>
        <v>0</v>
      </c>
      <c r="W293" s="366">
        <f t="shared" si="35"/>
        <v>0</v>
      </c>
      <c r="X293" s="362">
        <f t="shared" si="31"/>
        <v>0</v>
      </c>
      <c r="Y293" s="294">
        <f t="shared" ca="1" si="32"/>
        <v>46104</v>
      </c>
      <c r="Z293" s="375"/>
      <c r="AA293" s="249"/>
      <c r="AB293" s="391">
        <f t="shared" ca="1" si="36"/>
        <v>-46104</v>
      </c>
    </row>
    <row r="294" spans="1:28" ht="108" hidden="1" customHeight="1" x14ac:dyDescent="1.95">
      <c r="A294" s="23">
        <f>'MODIFICAR CODIGOS '!A294</f>
        <v>0</v>
      </c>
      <c r="B294" s="271">
        <f>'MODIFICAR CODIGOS '!B294</f>
        <v>0</v>
      </c>
      <c r="C294" s="284">
        <f>'MODIFICAR CODIGOS '!C294</f>
        <v>0</v>
      </c>
      <c r="D294" s="23">
        <f>'MODIFICAR CODIGOS '!D294</f>
        <v>0</v>
      </c>
      <c r="E294" s="23">
        <f>'MODIFICAR CODIGOS '!E294</f>
        <v>1</v>
      </c>
      <c r="F294" s="220"/>
      <c r="G294" s="147"/>
      <c r="H294" s="147"/>
      <c r="I294" s="147"/>
      <c r="J294" s="147"/>
      <c r="K294" s="219"/>
      <c r="L294" s="220"/>
      <c r="M294" s="147"/>
      <c r="N294" s="147"/>
      <c r="O294" s="219"/>
      <c r="P294" s="143"/>
      <c r="Q294" s="147"/>
      <c r="R294" s="141"/>
      <c r="S294" s="220"/>
      <c r="T294" s="219"/>
      <c r="U294" s="359">
        <f t="shared" si="33"/>
        <v>0</v>
      </c>
      <c r="V294" s="365">
        <f t="shared" si="34"/>
        <v>0</v>
      </c>
      <c r="W294" s="366">
        <f t="shared" si="35"/>
        <v>0</v>
      </c>
      <c r="X294" s="362">
        <f t="shared" si="31"/>
        <v>0</v>
      </c>
      <c r="Y294" s="294">
        <f t="shared" ca="1" si="32"/>
        <v>46104</v>
      </c>
      <c r="Z294" s="375"/>
      <c r="AA294" s="249"/>
      <c r="AB294" s="391">
        <f t="shared" ca="1" si="36"/>
        <v>-46104</v>
      </c>
    </row>
    <row r="295" spans="1:28" ht="108" hidden="1" customHeight="1" x14ac:dyDescent="1.95">
      <c r="A295" s="23">
        <f>'MODIFICAR CODIGOS '!A295</f>
        <v>0</v>
      </c>
      <c r="B295" s="271">
        <f>'MODIFICAR CODIGOS '!B295</f>
        <v>0</v>
      </c>
      <c r="C295" s="284">
        <f>'MODIFICAR CODIGOS '!C295</f>
        <v>0</v>
      </c>
      <c r="D295" s="23">
        <f>'MODIFICAR CODIGOS '!D295</f>
        <v>0</v>
      </c>
      <c r="E295" s="23">
        <f>'MODIFICAR CODIGOS '!E295</f>
        <v>1</v>
      </c>
      <c r="F295" s="220"/>
      <c r="G295" s="147"/>
      <c r="H295" s="147"/>
      <c r="I295" s="147"/>
      <c r="J295" s="147"/>
      <c r="K295" s="219"/>
      <c r="L295" s="220"/>
      <c r="M295" s="147"/>
      <c r="N295" s="147"/>
      <c r="O295" s="219"/>
      <c r="P295" s="143"/>
      <c r="Q295" s="147"/>
      <c r="R295" s="141"/>
      <c r="S295" s="220"/>
      <c r="T295" s="219"/>
      <c r="U295" s="359">
        <f t="shared" si="33"/>
        <v>0</v>
      </c>
      <c r="V295" s="365">
        <f t="shared" si="34"/>
        <v>0</v>
      </c>
      <c r="W295" s="366">
        <f t="shared" si="35"/>
        <v>0</v>
      </c>
      <c r="X295" s="362">
        <f t="shared" si="31"/>
        <v>0</v>
      </c>
      <c r="Y295" s="294">
        <f t="shared" ca="1" si="32"/>
        <v>46104</v>
      </c>
      <c r="Z295" s="375"/>
      <c r="AA295" s="249"/>
      <c r="AB295" s="391">
        <f t="shared" ca="1" si="36"/>
        <v>-46104</v>
      </c>
    </row>
    <row r="296" spans="1:28" ht="108" customHeight="1" x14ac:dyDescent="1.95">
      <c r="A296" s="23">
        <f>'MODIFICAR CODIGOS '!A296</f>
        <v>136247</v>
      </c>
      <c r="B296" s="270" t="str">
        <f>'MODIFICAR CODIGOS '!B296</f>
        <v>2 PK (1CCSO 3LT + 1 QT3LT) Nvo</v>
      </c>
      <c r="C296" s="284">
        <f>'MODIFICAR CODIGOS '!C296</f>
        <v>180</v>
      </c>
      <c r="D296" s="23">
        <f>'MODIFICAR CODIGOS '!D296</f>
        <v>45</v>
      </c>
      <c r="E296" s="23">
        <f>'MODIFICAR CODIGOS '!E296</f>
        <v>2</v>
      </c>
      <c r="F296" s="220"/>
      <c r="G296" s="147"/>
      <c r="H296" s="147"/>
      <c r="I296" s="147"/>
      <c r="J296" s="147"/>
      <c r="K296" s="219"/>
      <c r="L296" s="220"/>
      <c r="M296" s="147"/>
      <c r="N296" s="147"/>
      <c r="O296" s="219">
        <v>2</v>
      </c>
      <c r="P296" s="143">
        <v>9</v>
      </c>
      <c r="Q296" s="147"/>
      <c r="R296" s="141"/>
      <c r="S296" s="220"/>
      <c r="T296" s="219"/>
      <c r="U296" s="359">
        <f t="shared" si="33"/>
        <v>99</v>
      </c>
      <c r="V296" s="365">
        <f t="shared" si="34"/>
        <v>99</v>
      </c>
      <c r="W296" s="366">
        <f t="shared" si="35"/>
        <v>0</v>
      </c>
      <c r="X296" s="362">
        <f t="shared" si="31"/>
        <v>99</v>
      </c>
      <c r="Y296" s="294">
        <f t="shared" ca="1" si="32"/>
        <v>46104</v>
      </c>
      <c r="Z296" s="375"/>
      <c r="AA296" s="384"/>
      <c r="AB296" s="391">
        <f t="shared" ca="1" si="36"/>
        <v>-46104</v>
      </c>
    </row>
    <row r="297" spans="1:28" ht="108" customHeight="1" x14ac:dyDescent="1.95">
      <c r="A297" s="23">
        <f>'MODIFICAR CODIGOS '!A297</f>
        <v>120196</v>
      </c>
      <c r="B297" s="270" t="str">
        <f>'MODIFICAR CODIGOS '!B297</f>
        <v>3 PACK POWER SURT (NM + MB+ FT)</v>
      </c>
      <c r="C297" s="284">
        <f>'MODIFICAR CODIGOS '!C297</f>
        <v>540</v>
      </c>
      <c r="D297" s="23">
        <f>'MODIFICAR CODIGOS '!D297</f>
        <v>90</v>
      </c>
      <c r="E297" s="23">
        <f>'MODIFICAR CODIGOS '!E297</f>
        <v>3</v>
      </c>
      <c r="F297" s="241"/>
      <c r="G297" s="147"/>
      <c r="H297" s="147"/>
      <c r="I297" s="147"/>
      <c r="J297" s="147"/>
      <c r="K297" s="219"/>
      <c r="L297" s="220"/>
      <c r="M297" s="147"/>
      <c r="N297" s="147"/>
      <c r="O297" s="219"/>
      <c r="P297" s="143">
        <v>18</v>
      </c>
      <c r="Q297" s="147">
        <v>40</v>
      </c>
      <c r="R297" s="141">
        <v>60</v>
      </c>
      <c r="S297" s="220"/>
      <c r="T297" s="219"/>
      <c r="U297" s="359">
        <f t="shared" si="33"/>
        <v>118</v>
      </c>
      <c r="V297" s="365">
        <f t="shared" si="34"/>
        <v>118</v>
      </c>
      <c r="W297" s="366">
        <f t="shared" si="35"/>
        <v>0</v>
      </c>
      <c r="X297" s="362">
        <f t="shared" si="31"/>
        <v>118</v>
      </c>
      <c r="Y297" s="294">
        <f t="shared" ca="1" si="32"/>
        <v>46104</v>
      </c>
      <c r="Z297" s="375"/>
      <c r="AA297" s="384"/>
      <c r="AB297" s="391">
        <f t="shared" ca="1" si="36"/>
        <v>-46104</v>
      </c>
    </row>
    <row r="298" spans="1:28" ht="108" hidden="1" customHeight="1" x14ac:dyDescent="1.95">
      <c r="A298" s="23">
        <f>'MODIFICAR CODIGOS '!A298</f>
        <v>0</v>
      </c>
      <c r="B298" s="271">
        <f>'MODIFICAR CODIGOS '!B298</f>
        <v>0</v>
      </c>
      <c r="C298" s="284">
        <f>'MODIFICAR CODIGOS '!C298</f>
        <v>0</v>
      </c>
      <c r="D298" s="23">
        <f>'MODIFICAR CODIGOS '!D298</f>
        <v>0</v>
      </c>
      <c r="E298" s="23">
        <f>'MODIFICAR CODIGOS '!E298</f>
        <v>1</v>
      </c>
      <c r="F298" s="241"/>
      <c r="G298" s="147"/>
      <c r="H298" s="147"/>
      <c r="I298" s="147"/>
      <c r="J298" s="147"/>
      <c r="K298" s="219"/>
      <c r="L298" s="220"/>
      <c r="M298" s="147"/>
      <c r="N298" s="147"/>
      <c r="O298" s="219"/>
      <c r="P298" s="143"/>
      <c r="Q298" s="147"/>
      <c r="R298" s="141"/>
      <c r="S298" s="220"/>
      <c r="T298" s="219"/>
      <c r="U298" s="359">
        <f t="shared" si="33"/>
        <v>0</v>
      </c>
      <c r="V298" s="365">
        <f t="shared" si="34"/>
        <v>0</v>
      </c>
      <c r="W298" s="366">
        <f t="shared" si="35"/>
        <v>0</v>
      </c>
      <c r="X298" s="362">
        <f t="shared" si="31"/>
        <v>0</v>
      </c>
      <c r="Y298" s="294">
        <f t="shared" ca="1" si="32"/>
        <v>46104</v>
      </c>
      <c r="Z298" s="375"/>
      <c r="AA298" s="384"/>
      <c r="AB298" s="391">
        <f t="shared" ca="1" si="36"/>
        <v>-46104</v>
      </c>
    </row>
    <row r="299" spans="1:28" ht="108" hidden="1" customHeight="1" x14ac:dyDescent="1.95">
      <c r="A299" s="23">
        <f>'MODIFICAR CODIGOS '!A299</f>
        <v>0</v>
      </c>
      <c r="B299" s="271">
        <f>'MODIFICAR CODIGOS '!B299</f>
        <v>0</v>
      </c>
      <c r="C299" s="284">
        <f>'MODIFICAR CODIGOS '!C299</f>
        <v>0</v>
      </c>
      <c r="D299" s="23">
        <f>'MODIFICAR CODIGOS '!D299</f>
        <v>0</v>
      </c>
      <c r="E299" s="23">
        <f>'MODIFICAR CODIGOS '!E299</f>
        <v>1</v>
      </c>
      <c r="F299" s="241"/>
      <c r="G299" s="147"/>
      <c r="H299" s="147"/>
      <c r="I299" s="147"/>
      <c r="J299" s="147"/>
      <c r="K299" s="219"/>
      <c r="L299" s="220"/>
      <c r="M299" s="147"/>
      <c r="N299" s="147"/>
      <c r="O299" s="219"/>
      <c r="P299" s="143"/>
      <c r="Q299" s="147"/>
      <c r="R299" s="141"/>
      <c r="S299" s="220"/>
      <c r="T299" s="219"/>
      <c r="U299" s="359">
        <f t="shared" si="33"/>
        <v>0</v>
      </c>
      <c r="V299" s="365">
        <f t="shared" si="34"/>
        <v>0</v>
      </c>
      <c r="W299" s="366">
        <f t="shared" si="35"/>
        <v>0</v>
      </c>
      <c r="X299" s="362">
        <f t="shared" si="31"/>
        <v>0</v>
      </c>
      <c r="Y299" s="294">
        <f t="shared" ca="1" si="32"/>
        <v>46104</v>
      </c>
      <c r="Z299" s="375"/>
      <c r="AA299" s="249"/>
      <c r="AB299" s="391">
        <f t="shared" ca="1" si="36"/>
        <v>-46104</v>
      </c>
    </row>
    <row r="300" spans="1:28" ht="108" customHeight="1" x14ac:dyDescent="1.95">
      <c r="A300" s="23">
        <f>'MODIFICAR CODIGOS '!A300</f>
        <v>135770</v>
      </c>
      <c r="B300" s="270" t="str">
        <f>'MODIFICAR CODIGOS '!B300</f>
        <v>2 PACK C.C 2,5 ZERO LTS</v>
      </c>
      <c r="C300" s="284">
        <f>'MODIFICAR CODIGOS '!C300</f>
        <v>180</v>
      </c>
      <c r="D300" s="23">
        <f>'MODIFICAR CODIGOS '!D300</f>
        <v>45</v>
      </c>
      <c r="E300" s="23">
        <f>'MODIFICAR CODIGOS '!E300</f>
        <v>2</v>
      </c>
      <c r="F300" s="220"/>
      <c r="G300" s="147"/>
      <c r="H300" s="147"/>
      <c r="I300" s="147"/>
      <c r="J300" s="147"/>
      <c r="K300" s="219"/>
      <c r="L300" s="220"/>
      <c r="M300" s="147"/>
      <c r="N300" s="147"/>
      <c r="O300" s="219"/>
      <c r="P300" s="143"/>
      <c r="Q300" s="147">
        <v>4</v>
      </c>
      <c r="R300" s="141"/>
      <c r="S300" s="220"/>
      <c r="T300" s="219"/>
      <c r="U300" s="359">
        <f t="shared" si="33"/>
        <v>4</v>
      </c>
      <c r="V300" s="365">
        <f t="shared" si="34"/>
        <v>4</v>
      </c>
      <c r="W300" s="366">
        <f t="shared" si="35"/>
        <v>0</v>
      </c>
      <c r="X300" s="362">
        <f t="shared" si="31"/>
        <v>4</v>
      </c>
      <c r="Y300" s="294">
        <f t="shared" ca="1" si="32"/>
        <v>46104</v>
      </c>
      <c r="Z300" s="375"/>
      <c r="AA300" s="384"/>
      <c r="AB300" s="391">
        <f t="shared" ca="1" si="36"/>
        <v>-46104</v>
      </c>
    </row>
    <row r="301" spans="1:28" ht="108" hidden="1" customHeight="1" x14ac:dyDescent="1.95">
      <c r="A301" s="23">
        <f>'MODIFICAR CODIGOS '!A301</f>
        <v>0</v>
      </c>
      <c r="B301" s="271">
        <f>'MODIFICAR CODIGOS '!B301</f>
        <v>0</v>
      </c>
      <c r="C301" s="284">
        <f>'MODIFICAR CODIGOS '!C301</f>
        <v>0</v>
      </c>
      <c r="D301" s="23">
        <f>'MODIFICAR CODIGOS '!D301</f>
        <v>0</v>
      </c>
      <c r="E301" s="23">
        <f>'MODIFICAR CODIGOS '!E301</f>
        <v>1</v>
      </c>
      <c r="F301" s="220"/>
      <c r="G301" s="147"/>
      <c r="H301" s="147"/>
      <c r="I301" s="147"/>
      <c r="J301" s="147"/>
      <c r="K301" s="219"/>
      <c r="L301" s="220"/>
      <c r="M301" s="147"/>
      <c r="N301" s="147"/>
      <c r="O301" s="219"/>
      <c r="P301" s="143"/>
      <c r="Q301" s="147"/>
      <c r="R301" s="141"/>
      <c r="S301" s="220"/>
      <c r="T301" s="219"/>
      <c r="U301" s="359">
        <f t="shared" si="33"/>
        <v>0</v>
      </c>
      <c r="V301" s="365">
        <f t="shared" si="34"/>
        <v>0</v>
      </c>
      <c r="W301" s="366">
        <f t="shared" si="35"/>
        <v>0</v>
      </c>
      <c r="X301" s="362">
        <f t="shared" si="31"/>
        <v>0</v>
      </c>
      <c r="Y301" s="294">
        <f t="shared" ca="1" si="32"/>
        <v>46104</v>
      </c>
      <c r="Z301" s="375"/>
      <c r="AA301" s="249"/>
      <c r="AB301" s="391">
        <f t="shared" ca="1" si="36"/>
        <v>-46104</v>
      </c>
    </row>
    <row r="302" spans="1:28" ht="108" hidden="1" customHeight="1" x14ac:dyDescent="1.95">
      <c r="A302" s="23">
        <f>'MODIFICAR CODIGOS '!A302</f>
        <v>0</v>
      </c>
      <c r="B302" s="271">
        <f>'MODIFICAR CODIGOS '!B302</f>
        <v>0</v>
      </c>
      <c r="C302" s="284">
        <f>'MODIFICAR CODIGOS '!C302</f>
        <v>0</v>
      </c>
      <c r="D302" s="23">
        <f>'MODIFICAR CODIGOS '!D302</f>
        <v>0</v>
      </c>
      <c r="E302" s="23">
        <f>'MODIFICAR CODIGOS '!E302</f>
        <v>1</v>
      </c>
      <c r="F302" s="220"/>
      <c r="G302" s="147"/>
      <c r="H302" s="147"/>
      <c r="I302" s="147"/>
      <c r="J302" s="147"/>
      <c r="K302" s="219"/>
      <c r="L302" s="220"/>
      <c r="M302" s="147"/>
      <c r="N302" s="147"/>
      <c r="O302" s="219"/>
      <c r="P302" s="143"/>
      <c r="Q302" s="147"/>
      <c r="R302" s="141"/>
      <c r="S302" s="220"/>
      <c r="T302" s="219"/>
      <c r="U302" s="359">
        <f t="shared" si="33"/>
        <v>0</v>
      </c>
      <c r="V302" s="365">
        <f t="shared" si="34"/>
        <v>0</v>
      </c>
      <c r="W302" s="366">
        <f t="shared" si="35"/>
        <v>0</v>
      </c>
      <c r="X302" s="362">
        <f t="shared" si="31"/>
        <v>0</v>
      </c>
      <c r="Y302" s="294">
        <f t="shared" ca="1" si="32"/>
        <v>46104</v>
      </c>
      <c r="Z302" s="375"/>
      <c r="AA302" s="249"/>
      <c r="AB302" s="391">
        <f t="shared" ca="1" si="36"/>
        <v>-46104</v>
      </c>
    </row>
    <row r="303" spans="1:28" ht="108" hidden="1" customHeight="1" x14ac:dyDescent="1.95">
      <c r="A303" s="23">
        <f>'MODIFICAR CODIGOS '!A303</f>
        <v>0</v>
      </c>
      <c r="B303" s="271">
        <f>'MODIFICAR CODIGOS '!B303</f>
        <v>0</v>
      </c>
      <c r="C303" s="284">
        <f>'MODIFICAR CODIGOS '!C303</f>
        <v>0</v>
      </c>
      <c r="D303" s="23">
        <f>'MODIFICAR CODIGOS '!D303</f>
        <v>0</v>
      </c>
      <c r="E303" s="23">
        <f>'MODIFICAR CODIGOS '!E303</f>
        <v>1</v>
      </c>
      <c r="F303" s="220"/>
      <c r="G303" s="147"/>
      <c r="H303" s="147"/>
      <c r="I303" s="147"/>
      <c r="J303" s="147"/>
      <c r="K303" s="219"/>
      <c r="L303" s="220"/>
      <c r="M303" s="147"/>
      <c r="N303" s="147"/>
      <c r="O303" s="219"/>
      <c r="P303" s="143"/>
      <c r="Q303" s="147"/>
      <c r="R303" s="141"/>
      <c r="S303" s="220"/>
      <c r="T303" s="219"/>
      <c r="U303" s="359">
        <f t="shared" si="33"/>
        <v>0</v>
      </c>
      <c r="V303" s="365">
        <f t="shared" si="34"/>
        <v>0</v>
      </c>
      <c r="W303" s="366">
        <f t="shared" si="35"/>
        <v>0</v>
      </c>
      <c r="X303" s="362">
        <f t="shared" si="31"/>
        <v>0</v>
      </c>
      <c r="Y303" s="294">
        <f t="shared" ca="1" si="32"/>
        <v>46104</v>
      </c>
      <c r="Z303" s="375"/>
      <c r="AA303" s="249"/>
      <c r="AB303" s="391">
        <f t="shared" ca="1" si="36"/>
        <v>-46104</v>
      </c>
    </row>
    <row r="304" spans="1:28" ht="108" hidden="1" customHeight="1" x14ac:dyDescent="1.95">
      <c r="A304" s="23">
        <f>'MODIFICAR CODIGOS '!A304</f>
        <v>0</v>
      </c>
      <c r="B304" s="271">
        <f>'MODIFICAR CODIGOS '!B304</f>
        <v>0</v>
      </c>
      <c r="C304" s="284">
        <f>'MODIFICAR CODIGOS '!C304</f>
        <v>0</v>
      </c>
      <c r="D304" s="23">
        <f>'MODIFICAR CODIGOS '!D304</f>
        <v>0</v>
      </c>
      <c r="E304" s="23">
        <f>'MODIFICAR CODIGOS '!E304</f>
        <v>1</v>
      </c>
      <c r="F304" s="220"/>
      <c r="G304" s="147"/>
      <c r="H304" s="147"/>
      <c r="I304" s="147"/>
      <c r="J304" s="147"/>
      <c r="K304" s="219"/>
      <c r="L304" s="220"/>
      <c r="M304" s="147"/>
      <c r="N304" s="147"/>
      <c r="O304" s="219"/>
      <c r="P304" s="143"/>
      <c r="Q304" s="147"/>
      <c r="R304" s="141"/>
      <c r="S304" s="220"/>
      <c r="T304" s="219"/>
      <c r="U304" s="359">
        <f t="shared" si="33"/>
        <v>0</v>
      </c>
      <c r="V304" s="365">
        <f t="shared" si="34"/>
        <v>0</v>
      </c>
      <c r="W304" s="366">
        <f t="shared" si="35"/>
        <v>0</v>
      </c>
      <c r="X304" s="362">
        <f t="shared" si="31"/>
        <v>0</v>
      </c>
      <c r="Y304" s="294">
        <f t="shared" ca="1" si="32"/>
        <v>46104</v>
      </c>
      <c r="Z304" s="375"/>
      <c r="AA304" s="249"/>
      <c r="AB304" s="391">
        <f t="shared" ca="1" si="36"/>
        <v>-46104</v>
      </c>
    </row>
    <row r="305" spans="1:28" ht="108" customHeight="1" x14ac:dyDescent="1.95">
      <c r="A305" s="23">
        <f>'MODIFICAR CODIGOS '!A305</f>
        <v>135678</v>
      </c>
      <c r="B305" s="270" t="str">
        <f>'MODIFICAR CODIGOS '!B305</f>
        <v>2 PK (CCSO 3LT + SP 3LT ) Nvo</v>
      </c>
      <c r="C305" s="284">
        <f>'MODIFICAR CODIGOS '!C305</f>
        <v>180</v>
      </c>
      <c r="D305" s="23">
        <f>'MODIFICAR CODIGOS '!D305</f>
        <v>45</v>
      </c>
      <c r="E305" s="23">
        <f>'MODIFICAR CODIGOS '!E305</f>
        <v>2</v>
      </c>
      <c r="F305" s="220"/>
      <c r="G305" s="147"/>
      <c r="H305" s="147"/>
      <c r="I305" s="147"/>
      <c r="J305" s="147"/>
      <c r="K305" s="219"/>
      <c r="L305" s="220"/>
      <c r="M305" s="147"/>
      <c r="N305" s="147"/>
      <c r="O305" s="219"/>
      <c r="P305" s="143"/>
      <c r="Q305" s="147">
        <v>6</v>
      </c>
      <c r="R305" s="141"/>
      <c r="S305" s="220"/>
      <c r="T305" s="219"/>
      <c r="U305" s="359">
        <f t="shared" si="33"/>
        <v>6</v>
      </c>
      <c r="V305" s="365">
        <f t="shared" si="34"/>
        <v>6</v>
      </c>
      <c r="W305" s="366">
        <f t="shared" si="35"/>
        <v>0</v>
      </c>
      <c r="X305" s="362">
        <f t="shared" si="31"/>
        <v>6</v>
      </c>
      <c r="Y305" s="294">
        <f t="shared" ca="1" si="32"/>
        <v>46104</v>
      </c>
      <c r="Z305" s="375"/>
      <c r="AA305" s="384"/>
      <c r="AB305" s="391">
        <f t="shared" ca="1" si="36"/>
        <v>-46104</v>
      </c>
    </row>
    <row r="306" spans="1:28" ht="108" customHeight="1" x14ac:dyDescent="1.95">
      <c r="A306" s="23" t="str">
        <f>'MODIFICAR CODIGOS '!A306</f>
        <v>*</v>
      </c>
      <c r="B306" s="271">
        <f>'MODIFICAR CODIGOS '!B306</f>
        <v>0</v>
      </c>
      <c r="C306" s="284">
        <f>'MODIFICAR CODIGOS '!C306</f>
        <v>0</v>
      </c>
      <c r="D306" s="23">
        <f>'MODIFICAR CODIGOS '!D306</f>
        <v>0</v>
      </c>
      <c r="E306" s="23">
        <f>'MODIFICAR CODIGOS '!E306</f>
        <v>1</v>
      </c>
      <c r="F306" s="220"/>
      <c r="G306" s="147"/>
      <c r="H306" s="147"/>
      <c r="I306" s="147"/>
      <c r="J306" s="147"/>
      <c r="K306" s="219"/>
      <c r="L306" s="220"/>
      <c r="M306" s="147"/>
      <c r="N306" s="147"/>
      <c r="O306" s="219"/>
      <c r="P306" s="143"/>
      <c r="Q306" s="147"/>
      <c r="R306" s="141"/>
      <c r="S306" s="220"/>
      <c r="T306" s="219"/>
      <c r="U306" s="359">
        <f t="shared" si="33"/>
        <v>0</v>
      </c>
      <c r="V306" s="365">
        <f t="shared" si="34"/>
        <v>0</v>
      </c>
      <c r="W306" s="366">
        <f t="shared" si="35"/>
        <v>0</v>
      </c>
      <c r="X306" s="362">
        <f t="shared" si="31"/>
        <v>0</v>
      </c>
      <c r="Y306" s="294">
        <f t="shared" ca="1" si="32"/>
        <v>46104</v>
      </c>
      <c r="Z306" s="375"/>
      <c r="AA306" s="249"/>
      <c r="AB306" s="391">
        <f t="shared" ca="1" si="36"/>
        <v>-46104</v>
      </c>
    </row>
    <row r="307" spans="1:28" ht="108" hidden="1" customHeight="1" x14ac:dyDescent="1.95">
      <c r="A307" s="23">
        <f>'MODIFICAR CODIGOS '!A307</f>
        <v>0</v>
      </c>
      <c r="B307" s="271">
        <f>'MODIFICAR CODIGOS '!B307</f>
        <v>0</v>
      </c>
      <c r="C307" s="284">
        <f>'MODIFICAR CODIGOS '!C307</f>
        <v>0</v>
      </c>
      <c r="D307" s="23">
        <f>'MODIFICAR CODIGOS '!D307</f>
        <v>0</v>
      </c>
      <c r="E307" s="23">
        <f>'MODIFICAR CODIGOS '!E307</f>
        <v>1</v>
      </c>
      <c r="F307" s="220"/>
      <c r="G307" s="147"/>
      <c r="H307" s="147"/>
      <c r="I307" s="147"/>
      <c r="J307" s="147"/>
      <c r="K307" s="219"/>
      <c r="L307" s="220"/>
      <c r="M307" s="147"/>
      <c r="N307" s="147"/>
      <c r="O307" s="219"/>
      <c r="P307" s="143"/>
      <c r="Q307" s="147"/>
      <c r="R307" s="141"/>
      <c r="S307" s="220"/>
      <c r="T307" s="219"/>
      <c r="U307" s="359">
        <f t="shared" si="33"/>
        <v>0</v>
      </c>
      <c r="V307" s="365">
        <f t="shared" si="34"/>
        <v>0</v>
      </c>
      <c r="W307" s="366">
        <f t="shared" si="35"/>
        <v>0</v>
      </c>
      <c r="X307" s="362">
        <f t="shared" si="31"/>
        <v>0</v>
      </c>
      <c r="Y307" s="294">
        <f t="shared" ca="1" si="32"/>
        <v>46104</v>
      </c>
      <c r="Z307" s="375"/>
      <c r="AA307" s="249"/>
      <c r="AB307" s="391">
        <f t="shared" ca="1" si="36"/>
        <v>-46104</v>
      </c>
    </row>
    <row r="308" spans="1:28" ht="108" hidden="1" customHeight="1" x14ac:dyDescent="1.95">
      <c r="A308" s="23">
        <f>'MODIFICAR CODIGOS '!A308</f>
        <v>0</v>
      </c>
      <c r="B308" s="271">
        <f>'MODIFICAR CODIGOS '!B308</f>
        <v>0</v>
      </c>
      <c r="C308" s="284">
        <f>'MODIFICAR CODIGOS '!C308</f>
        <v>0</v>
      </c>
      <c r="D308" s="23">
        <f>'MODIFICAR CODIGOS '!D308</f>
        <v>0</v>
      </c>
      <c r="E308" s="23">
        <f>'MODIFICAR CODIGOS '!E308</f>
        <v>1</v>
      </c>
      <c r="F308" s="220"/>
      <c r="G308" s="147"/>
      <c r="H308" s="147"/>
      <c r="I308" s="147"/>
      <c r="J308" s="147"/>
      <c r="K308" s="219"/>
      <c r="L308" s="220"/>
      <c r="M308" s="147"/>
      <c r="N308" s="147"/>
      <c r="O308" s="219"/>
      <c r="P308" s="143"/>
      <c r="Q308" s="147"/>
      <c r="R308" s="141"/>
      <c r="S308" s="220"/>
      <c r="T308" s="219"/>
      <c r="U308" s="359">
        <f t="shared" si="33"/>
        <v>0</v>
      </c>
      <c r="V308" s="365">
        <f t="shared" si="34"/>
        <v>0</v>
      </c>
      <c r="W308" s="366">
        <f t="shared" si="35"/>
        <v>0</v>
      </c>
      <c r="X308" s="362">
        <f t="shared" si="31"/>
        <v>0</v>
      </c>
      <c r="Y308" s="294">
        <f t="shared" ca="1" si="32"/>
        <v>46104</v>
      </c>
      <c r="Z308" s="375"/>
      <c r="AA308" s="249"/>
      <c r="AB308" s="391">
        <f t="shared" ca="1" si="36"/>
        <v>-46104</v>
      </c>
    </row>
    <row r="309" spans="1:28" ht="108" hidden="1" customHeight="1" x14ac:dyDescent="1.95">
      <c r="A309" s="23">
        <f>'MODIFICAR CODIGOS '!A309</f>
        <v>0</v>
      </c>
      <c r="B309" s="271">
        <f>'MODIFICAR CODIGOS '!B309</f>
        <v>0</v>
      </c>
      <c r="C309" s="284">
        <f>'MODIFICAR CODIGOS '!C309</f>
        <v>0</v>
      </c>
      <c r="D309" s="23">
        <f>'MODIFICAR CODIGOS '!D309</f>
        <v>0</v>
      </c>
      <c r="E309" s="23">
        <f>'MODIFICAR CODIGOS '!E309</f>
        <v>1</v>
      </c>
      <c r="F309" s="220"/>
      <c r="G309" s="147"/>
      <c r="H309" s="147"/>
      <c r="I309" s="147"/>
      <c r="J309" s="147"/>
      <c r="K309" s="219"/>
      <c r="L309" s="220"/>
      <c r="M309" s="147"/>
      <c r="N309" s="147"/>
      <c r="O309" s="219"/>
      <c r="P309" s="143"/>
      <c r="Q309" s="147"/>
      <c r="R309" s="141"/>
      <c r="S309" s="220"/>
      <c r="T309" s="219"/>
      <c r="U309" s="359">
        <f t="shared" si="33"/>
        <v>0</v>
      </c>
      <c r="V309" s="365">
        <f t="shared" si="34"/>
        <v>0</v>
      </c>
      <c r="W309" s="366">
        <f t="shared" si="35"/>
        <v>0</v>
      </c>
      <c r="X309" s="362">
        <f t="shared" si="31"/>
        <v>0</v>
      </c>
      <c r="Y309" s="294">
        <f t="shared" ca="1" si="32"/>
        <v>46104</v>
      </c>
      <c r="Z309" s="375"/>
      <c r="AA309" s="249"/>
      <c r="AB309" s="391">
        <f t="shared" ca="1" si="36"/>
        <v>-46104</v>
      </c>
    </row>
    <row r="310" spans="1:28" ht="108" hidden="1" customHeight="1" x14ac:dyDescent="1.95">
      <c r="A310" s="23">
        <f>'MODIFICAR CODIGOS '!A310</f>
        <v>0</v>
      </c>
      <c r="B310" s="270">
        <f>'MODIFICAR CODIGOS '!B310</f>
        <v>0</v>
      </c>
      <c r="C310" s="284">
        <f>'MODIFICAR CODIGOS '!C310</f>
        <v>0</v>
      </c>
      <c r="D310" s="23">
        <f>'MODIFICAR CODIGOS '!D310</f>
        <v>0</v>
      </c>
      <c r="E310" s="23">
        <f>'MODIFICAR CODIGOS '!E310</f>
        <v>3</v>
      </c>
      <c r="F310" s="220"/>
      <c r="G310" s="147"/>
      <c r="H310" s="147"/>
      <c r="I310" s="147"/>
      <c r="J310" s="147"/>
      <c r="K310" s="219"/>
      <c r="L310" s="220"/>
      <c r="M310" s="147"/>
      <c r="N310" s="147"/>
      <c r="O310" s="219"/>
      <c r="P310" s="143"/>
      <c r="Q310" s="147"/>
      <c r="R310" s="141"/>
      <c r="S310" s="220"/>
      <c r="T310" s="219"/>
      <c r="U310" s="359">
        <f t="shared" si="33"/>
        <v>0</v>
      </c>
      <c r="V310" s="365">
        <f t="shared" si="34"/>
        <v>0</v>
      </c>
      <c r="W310" s="366">
        <f t="shared" si="35"/>
        <v>0</v>
      </c>
      <c r="X310" s="362">
        <f t="shared" si="31"/>
        <v>0</v>
      </c>
      <c r="Y310" s="294">
        <f t="shared" ca="1" si="32"/>
        <v>46104</v>
      </c>
      <c r="Z310" s="375"/>
      <c r="AA310" s="249"/>
      <c r="AB310" s="391">
        <f t="shared" ca="1" si="36"/>
        <v>-46104</v>
      </c>
    </row>
    <row r="311" spans="1:28" ht="108" customHeight="1" x14ac:dyDescent="1.95">
      <c r="A311" s="23">
        <f>'MODIFICAR CODIGOS '!A311</f>
        <v>160201</v>
      </c>
      <c r="B311" s="270" t="str">
        <f>'MODIFICAR CODIGOS '!B311</f>
        <v>6PACK CCR 250ML MINI PET</v>
      </c>
      <c r="C311" s="284">
        <f>'MODIFICAR CODIGOS '!C311</f>
        <v>0</v>
      </c>
      <c r="D311" s="23">
        <f>'MODIFICAR CODIGOS '!D311</f>
        <v>66</v>
      </c>
      <c r="E311" s="23">
        <f>'MODIFICAR CODIGOS '!E311</f>
        <v>6</v>
      </c>
      <c r="F311" s="220"/>
      <c r="G311" s="147"/>
      <c r="H311" s="147"/>
      <c r="I311" s="147"/>
      <c r="J311" s="147"/>
      <c r="K311" s="219"/>
      <c r="L311" s="220"/>
      <c r="M311" s="147"/>
      <c r="N311" s="147"/>
      <c r="O311" s="219"/>
      <c r="P311" s="143"/>
      <c r="Q311" s="147">
        <v>50</v>
      </c>
      <c r="R311" s="141"/>
      <c r="S311" s="220"/>
      <c r="T311" s="219"/>
      <c r="U311" s="359">
        <f t="shared" si="33"/>
        <v>50</v>
      </c>
      <c r="V311" s="365">
        <f t="shared" si="34"/>
        <v>50</v>
      </c>
      <c r="W311" s="366">
        <f t="shared" si="35"/>
        <v>0</v>
      </c>
      <c r="X311" s="362">
        <f t="shared" si="31"/>
        <v>50</v>
      </c>
      <c r="Y311" s="294">
        <f t="shared" ca="1" si="32"/>
        <v>46104</v>
      </c>
      <c r="Z311" s="375"/>
      <c r="AA311" s="384"/>
      <c r="AB311" s="391">
        <f t="shared" ca="1" si="36"/>
        <v>-46104</v>
      </c>
    </row>
    <row r="312" spans="1:28" ht="108" customHeight="1" x14ac:dyDescent="1.95">
      <c r="A312" s="23" t="str">
        <f>'MODIFICAR CODIGOS '!A312</f>
        <v>*</v>
      </c>
      <c r="B312" s="271">
        <f>'MODIFICAR CODIGOS '!B312</f>
        <v>0</v>
      </c>
      <c r="C312" s="284">
        <f>'MODIFICAR CODIGOS '!C312</f>
        <v>0</v>
      </c>
      <c r="D312" s="23">
        <f>'MODIFICAR CODIGOS '!D312</f>
        <v>0</v>
      </c>
      <c r="E312" s="23">
        <f>'MODIFICAR CODIGOS '!E312</f>
        <v>1</v>
      </c>
      <c r="F312" s="220"/>
      <c r="G312" s="147"/>
      <c r="H312" s="147"/>
      <c r="I312" s="147"/>
      <c r="J312" s="147"/>
      <c r="K312" s="219"/>
      <c r="L312" s="220"/>
      <c r="M312" s="147"/>
      <c r="N312" s="147"/>
      <c r="O312" s="219"/>
      <c r="P312" s="143"/>
      <c r="Q312" s="147"/>
      <c r="R312" s="141"/>
      <c r="S312" s="220"/>
      <c r="T312" s="219"/>
      <c r="U312" s="359">
        <f t="shared" si="33"/>
        <v>0</v>
      </c>
      <c r="V312" s="365">
        <f t="shared" si="34"/>
        <v>0</v>
      </c>
      <c r="W312" s="366">
        <f t="shared" si="35"/>
        <v>0</v>
      </c>
      <c r="X312" s="362">
        <f t="shared" si="31"/>
        <v>0</v>
      </c>
      <c r="Y312" s="294">
        <f t="shared" ca="1" si="32"/>
        <v>46104</v>
      </c>
      <c r="Z312" s="375"/>
      <c r="AA312" s="249"/>
      <c r="AB312" s="391">
        <f t="shared" ca="1" si="36"/>
        <v>-46104</v>
      </c>
    </row>
    <row r="313" spans="1:28" ht="108" hidden="1" customHeight="1" x14ac:dyDescent="1.95">
      <c r="A313" s="23">
        <f>'MODIFICAR CODIGOS '!A313</f>
        <v>0</v>
      </c>
      <c r="B313" s="271">
        <f>'MODIFICAR CODIGOS '!B313</f>
        <v>0</v>
      </c>
      <c r="C313" s="284">
        <f>'MODIFICAR CODIGOS '!C313</f>
        <v>0</v>
      </c>
      <c r="D313" s="23">
        <f>'MODIFICAR CODIGOS '!D313</f>
        <v>0</v>
      </c>
      <c r="E313" s="23">
        <f>'MODIFICAR CODIGOS '!E313</f>
        <v>1</v>
      </c>
      <c r="F313" s="220"/>
      <c r="G313" s="147"/>
      <c r="H313" s="147"/>
      <c r="I313" s="147"/>
      <c r="J313" s="147"/>
      <c r="K313" s="219"/>
      <c r="L313" s="220"/>
      <c r="M313" s="147"/>
      <c r="N313" s="147"/>
      <c r="O313" s="219"/>
      <c r="P313" s="143"/>
      <c r="Q313" s="147"/>
      <c r="R313" s="141"/>
      <c r="S313" s="220"/>
      <c r="T313" s="219"/>
      <c r="U313" s="359">
        <f t="shared" si="33"/>
        <v>0</v>
      </c>
      <c r="V313" s="365">
        <f t="shared" si="34"/>
        <v>0</v>
      </c>
      <c r="W313" s="366">
        <f t="shared" si="35"/>
        <v>0</v>
      </c>
      <c r="X313" s="362">
        <f t="shared" si="31"/>
        <v>0</v>
      </c>
      <c r="Y313" s="294">
        <f t="shared" ca="1" si="32"/>
        <v>46104</v>
      </c>
      <c r="Z313" s="375"/>
      <c r="AA313" s="249"/>
      <c r="AB313" s="391">
        <f t="shared" ca="1" si="36"/>
        <v>-46104</v>
      </c>
    </row>
    <row r="314" spans="1:28" ht="107.4" x14ac:dyDescent="1.95">
      <c r="A314" s="23">
        <f>'MODIFICAR CODIGOS '!A314</f>
        <v>136402</v>
      </c>
      <c r="B314" s="270" t="str">
        <f>'MODIFICAR CODIGOS '!B314</f>
        <v>6 PACK CC 269 lata</v>
      </c>
      <c r="C314" s="284">
        <f>'MODIFICAR CODIGOS '!C314</f>
        <v>1</v>
      </c>
      <c r="D314" s="23">
        <f>'MODIFICAR CODIGOS '!D314</f>
        <v>56</v>
      </c>
      <c r="E314" s="23">
        <f>'MODIFICAR CODIGOS '!E314</f>
        <v>1</v>
      </c>
      <c r="F314" s="220"/>
      <c r="G314" s="147"/>
      <c r="H314" s="147"/>
      <c r="I314" s="147"/>
      <c r="J314" s="147"/>
      <c r="K314" s="219"/>
      <c r="L314" s="220"/>
      <c r="M314" s="147"/>
      <c r="N314" s="147"/>
      <c r="O314" s="219"/>
      <c r="P314" s="143"/>
      <c r="Q314" s="147"/>
      <c r="R314" s="141"/>
      <c r="S314" s="220"/>
      <c r="T314" s="219"/>
      <c r="U314" s="359">
        <f t="shared" si="33"/>
        <v>0</v>
      </c>
      <c r="V314" s="365">
        <f t="shared" si="34"/>
        <v>0</v>
      </c>
      <c r="W314" s="366">
        <f t="shared" si="35"/>
        <v>0</v>
      </c>
      <c r="X314" s="362">
        <f t="shared" si="31"/>
        <v>0</v>
      </c>
      <c r="Y314" s="294">
        <f t="shared" ca="1" si="32"/>
        <v>46104</v>
      </c>
      <c r="Z314" s="375"/>
      <c r="AA314" s="384"/>
      <c r="AB314" s="391">
        <f t="shared" ca="1" si="36"/>
        <v>-46104</v>
      </c>
    </row>
    <row r="315" spans="1:28" ht="107.4" hidden="1" x14ac:dyDescent="1.95">
      <c r="A315" s="23">
        <f>'MODIFICAR CODIGOS '!A315</f>
        <v>0</v>
      </c>
      <c r="B315" s="271">
        <f>'MODIFICAR CODIGOS '!B315</f>
        <v>0</v>
      </c>
      <c r="C315" s="284">
        <f>'MODIFICAR CODIGOS '!C315</f>
        <v>0</v>
      </c>
      <c r="D315" s="23">
        <f>'MODIFICAR CODIGOS '!D315</f>
        <v>0</v>
      </c>
      <c r="E315" s="23">
        <f>'MODIFICAR CODIGOS '!E315</f>
        <v>1</v>
      </c>
      <c r="F315" s="220"/>
      <c r="G315" s="147"/>
      <c r="H315" s="147"/>
      <c r="I315" s="147"/>
      <c r="J315" s="147"/>
      <c r="K315" s="219"/>
      <c r="L315" s="220"/>
      <c r="M315" s="147"/>
      <c r="N315" s="147"/>
      <c r="O315" s="219"/>
      <c r="P315" s="143"/>
      <c r="Q315" s="147"/>
      <c r="R315" s="141"/>
      <c r="S315" s="220"/>
      <c r="T315" s="219"/>
      <c r="U315" s="359">
        <f t="shared" si="33"/>
        <v>0</v>
      </c>
      <c r="V315" s="365">
        <f t="shared" si="34"/>
        <v>0</v>
      </c>
      <c r="W315" s="366">
        <f t="shared" si="35"/>
        <v>0</v>
      </c>
      <c r="X315" s="362">
        <f t="shared" ref="X315:X378" si="37">V315+W315/E315</f>
        <v>0</v>
      </c>
      <c r="Y315" s="294">
        <f t="shared" ref="Y315:Y378" ca="1" si="38">TODAY()</f>
        <v>46104</v>
      </c>
      <c r="Z315" s="375"/>
      <c r="AA315" s="249"/>
      <c r="AB315" s="391">
        <f t="shared" ca="1" si="36"/>
        <v>-46104</v>
      </c>
    </row>
    <row r="316" spans="1:28" ht="107.4" hidden="1" x14ac:dyDescent="1.95">
      <c r="A316" s="23">
        <f>'MODIFICAR CODIGOS '!A316</f>
        <v>0</v>
      </c>
      <c r="B316" s="271">
        <f>'MODIFICAR CODIGOS '!B316</f>
        <v>0</v>
      </c>
      <c r="C316" s="284">
        <f>'MODIFICAR CODIGOS '!C316</f>
        <v>0</v>
      </c>
      <c r="D316" s="23">
        <f>'MODIFICAR CODIGOS '!D316</f>
        <v>0</v>
      </c>
      <c r="E316" s="23">
        <f>'MODIFICAR CODIGOS '!E316</f>
        <v>1</v>
      </c>
      <c r="F316" s="220"/>
      <c r="G316" s="147"/>
      <c r="H316" s="147"/>
      <c r="I316" s="147"/>
      <c r="J316" s="147"/>
      <c r="K316" s="219"/>
      <c r="L316" s="220"/>
      <c r="M316" s="147"/>
      <c r="N316" s="147"/>
      <c r="O316" s="219"/>
      <c r="P316" s="143"/>
      <c r="Q316" s="147"/>
      <c r="R316" s="141"/>
      <c r="S316" s="220"/>
      <c r="T316" s="219"/>
      <c r="U316" s="359">
        <f t="shared" ref="U316:U379" si="39">(F316*C316+G316*C316+H316*C316+I316*C316+J316*C316+K316*C316+L316*D316+M316*D316+N316*D316+O316*D316+P316*1+Q316*1+R316*1+(TRUNC((S316+T316)/E316)))+(((S316+T316)/E316-TRUNC((S316+T316)/E316))*E316)/100</f>
        <v>0</v>
      </c>
      <c r="V316" s="365">
        <f t="shared" si="34"/>
        <v>0</v>
      </c>
      <c r="W316" s="366">
        <f t="shared" si="35"/>
        <v>0</v>
      </c>
      <c r="X316" s="362">
        <f t="shared" si="37"/>
        <v>0</v>
      </c>
      <c r="Y316" s="294">
        <f t="shared" ca="1" si="38"/>
        <v>46104</v>
      </c>
      <c r="Z316" s="375"/>
      <c r="AA316" s="249"/>
      <c r="AB316" s="391">
        <f t="shared" ca="1" si="36"/>
        <v>-46104</v>
      </c>
    </row>
    <row r="317" spans="1:28" ht="108" hidden="1" customHeight="1" x14ac:dyDescent="1.95">
      <c r="A317" s="23">
        <f>'MODIFICAR CODIGOS '!A317</f>
        <v>0</v>
      </c>
      <c r="B317" s="271">
        <f>'MODIFICAR CODIGOS '!B317</f>
        <v>0</v>
      </c>
      <c r="C317" s="284">
        <f>'MODIFICAR CODIGOS '!C317</f>
        <v>0</v>
      </c>
      <c r="D317" s="23">
        <f>'MODIFICAR CODIGOS '!D317</f>
        <v>0</v>
      </c>
      <c r="E317" s="23">
        <f>'MODIFICAR CODIGOS '!E317</f>
        <v>1</v>
      </c>
      <c r="F317" s="220"/>
      <c r="G317" s="147"/>
      <c r="H317" s="147"/>
      <c r="I317" s="147"/>
      <c r="J317" s="147"/>
      <c r="K317" s="219"/>
      <c r="L317" s="220"/>
      <c r="M317" s="147"/>
      <c r="N317" s="147"/>
      <c r="O317" s="219"/>
      <c r="P317" s="143"/>
      <c r="Q317" s="147"/>
      <c r="R317" s="141"/>
      <c r="S317" s="220"/>
      <c r="T317" s="219"/>
      <c r="U317" s="359">
        <f t="shared" si="39"/>
        <v>0</v>
      </c>
      <c r="V317" s="365">
        <f t="shared" si="34"/>
        <v>0</v>
      </c>
      <c r="W317" s="366">
        <f t="shared" si="35"/>
        <v>0</v>
      </c>
      <c r="X317" s="362">
        <f t="shared" si="37"/>
        <v>0</v>
      </c>
      <c r="Y317" s="294">
        <f t="shared" ca="1" si="38"/>
        <v>46104</v>
      </c>
      <c r="Z317" s="375"/>
      <c r="AA317" s="249"/>
      <c r="AB317" s="391">
        <f t="shared" ca="1" si="36"/>
        <v>-46104</v>
      </c>
    </row>
    <row r="318" spans="1:28" ht="108" customHeight="1" x14ac:dyDescent="1.95">
      <c r="A318" s="23">
        <f>'MODIFICAR CODIGOS '!A318</f>
        <v>135675</v>
      </c>
      <c r="B318" s="270" t="str">
        <f>'MODIFICAR CODIGOS '!B318</f>
        <v xml:space="preserve">COMBO AHORRO CCSO 3LT </v>
      </c>
      <c r="C318" s="284">
        <f>'MODIFICAR CODIGOS '!C318</f>
        <v>180</v>
      </c>
      <c r="D318" s="23">
        <f>'MODIFICAR CODIGOS '!D318</f>
        <v>45</v>
      </c>
      <c r="E318" s="23">
        <f>'MODIFICAR CODIGOS '!E318</f>
        <v>1</v>
      </c>
      <c r="F318" s="220"/>
      <c r="G318" s="147"/>
      <c r="H318" s="147"/>
      <c r="I318" s="147"/>
      <c r="J318" s="147"/>
      <c r="K318" s="219"/>
      <c r="L318" s="220"/>
      <c r="M318" s="147"/>
      <c r="N318" s="147"/>
      <c r="O318" s="219"/>
      <c r="P318" s="143"/>
      <c r="Q318" s="147"/>
      <c r="R318" s="141"/>
      <c r="S318" s="220"/>
      <c r="T318" s="219"/>
      <c r="U318" s="359">
        <f t="shared" si="39"/>
        <v>0</v>
      </c>
      <c r="V318" s="365">
        <f t="shared" si="34"/>
        <v>0</v>
      </c>
      <c r="W318" s="366">
        <f t="shared" si="35"/>
        <v>0</v>
      </c>
      <c r="X318" s="362">
        <f t="shared" si="37"/>
        <v>0</v>
      </c>
      <c r="Y318" s="294">
        <f t="shared" ca="1" si="38"/>
        <v>46104</v>
      </c>
      <c r="Z318" s="375"/>
      <c r="AA318" s="384"/>
      <c r="AB318" s="391">
        <f t="shared" ca="1" si="36"/>
        <v>-46104</v>
      </c>
    </row>
    <row r="319" spans="1:28" ht="107.4" hidden="1" x14ac:dyDescent="1.95">
      <c r="A319" s="23">
        <f>'MODIFICAR CODIGOS '!A319</f>
        <v>0</v>
      </c>
      <c r="B319" s="270">
        <f>'MODIFICAR CODIGOS '!B319</f>
        <v>0</v>
      </c>
      <c r="C319" s="284">
        <f>'MODIFICAR CODIGOS '!C319</f>
        <v>0</v>
      </c>
      <c r="D319" s="23">
        <f>'MODIFICAR CODIGOS '!D319</f>
        <v>0</v>
      </c>
      <c r="E319" s="23">
        <f>'MODIFICAR CODIGOS '!E319</f>
        <v>1</v>
      </c>
      <c r="F319" s="220"/>
      <c r="G319" s="147"/>
      <c r="H319" s="147"/>
      <c r="I319" s="147"/>
      <c r="J319" s="147"/>
      <c r="K319" s="219"/>
      <c r="L319" s="220"/>
      <c r="M319" s="147"/>
      <c r="N319" s="147"/>
      <c r="O319" s="219"/>
      <c r="P319" s="143"/>
      <c r="Q319" s="147"/>
      <c r="R319" s="141"/>
      <c r="S319" s="220"/>
      <c r="T319" s="219"/>
      <c r="U319" s="359">
        <f t="shared" si="39"/>
        <v>0</v>
      </c>
      <c r="V319" s="365">
        <f t="shared" si="34"/>
        <v>0</v>
      </c>
      <c r="W319" s="366">
        <f t="shared" si="35"/>
        <v>0</v>
      </c>
      <c r="X319" s="362">
        <f t="shared" si="37"/>
        <v>0</v>
      </c>
      <c r="Y319" s="294">
        <f t="shared" ca="1" si="38"/>
        <v>46104</v>
      </c>
      <c r="Z319" s="375"/>
      <c r="AA319" s="249"/>
      <c r="AB319" s="391">
        <f t="shared" ca="1" si="36"/>
        <v>-46104</v>
      </c>
    </row>
    <row r="320" spans="1:28" ht="107.4" hidden="1" x14ac:dyDescent="1.95">
      <c r="A320" s="23">
        <f>'MODIFICAR CODIGOS '!A320</f>
        <v>0</v>
      </c>
      <c r="B320" s="271">
        <f>'MODIFICAR CODIGOS '!B320</f>
        <v>0</v>
      </c>
      <c r="C320" s="284">
        <f>'MODIFICAR CODIGOS '!C320</f>
        <v>0</v>
      </c>
      <c r="D320" s="23">
        <f>'MODIFICAR CODIGOS '!D320</f>
        <v>0</v>
      </c>
      <c r="E320" s="23">
        <f>'MODIFICAR CODIGOS '!E320</f>
        <v>1</v>
      </c>
      <c r="F320" s="220"/>
      <c r="G320" s="147"/>
      <c r="H320" s="147"/>
      <c r="I320" s="147"/>
      <c r="J320" s="147"/>
      <c r="K320" s="219"/>
      <c r="L320" s="220"/>
      <c r="M320" s="147"/>
      <c r="N320" s="147"/>
      <c r="O320" s="219"/>
      <c r="P320" s="143"/>
      <c r="Q320" s="147"/>
      <c r="R320" s="141"/>
      <c r="S320" s="220"/>
      <c r="T320" s="219"/>
      <c r="U320" s="359">
        <f t="shared" si="39"/>
        <v>0</v>
      </c>
      <c r="V320" s="365">
        <f t="shared" si="34"/>
        <v>0</v>
      </c>
      <c r="W320" s="366">
        <f t="shared" si="35"/>
        <v>0</v>
      </c>
      <c r="X320" s="362">
        <f t="shared" si="37"/>
        <v>0</v>
      </c>
      <c r="Y320" s="294">
        <f t="shared" ca="1" si="38"/>
        <v>46104</v>
      </c>
      <c r="Z320" s="375"/>
      <c r="AA320" s="249"/>
      <c r="AB320" s="391">
        <f t="shared" ca="1" si="36"/>
        <v>-46104</v>
      </c>
    </row>
    <row r="321" spans="1:28" ht="107.4" hidden="1" x14ac:dyDescent="1.95">
      <c r="A321" s="23">
        <f>'MODIFICAR CODIGOS '!A321</f>
        <v>0</v>
      </c>
      <c r="B321" s="271">
        <f>'MODIFICAR CODIGOS '!B321</f>
        <v>0</v>
      </c>
      <c r="C321" s="284">
        <f>'MODIFICAR CODIGOS '!C321</f>
        <v>0</v>
      </c>
      <c r="D321" s="23">
        <f>'MODIFICAR CODIGOS '!D321</f>
        <v>0</v>
      </c>
      <c r="E321" s="23">
        <f>'MODIFICAR CODIGOS '!E321</f>
        <v>1</v>
      </c>
      <c r="F321" s="220"/>
      <c r="G321" s="147"/>
      <c r="H321" s="147"/>
      <c r="I321" s="147"/>
      <c r="J321" s="147"/>
      <c r="K321" s="219"/>
      <c r="L321" s="220"/>
      <c r="M321" s="147"/>
      <c r="N321" s="147"/>
      <c r="O321" s="219"/>
      <c r="P321" s="143"/>
      <c r="Q321" s="147"/>
      <c r="R321" s="141"/>
      <c r="S321" s="220"/>
      <c r="T321" s="219"/>
      <c r="U321" s="359">
        <f t="shared" si="39"/>
        <v>0</v>
      </c>
      <c r="V321" s="365">
        <f t="shared" si="34"/>
        <v>0</v>
      </c>
      <c r="W321" s="366">
        <f t="shared" si="35"/>
        <v>0</v>
      </c>
      <c r="X321" s="362">
        <f t="shared" si="37"/>
        <v>0</v>
      </c>
      <c r="Y321" s="294">
        <f t="shared" ca="1" si="38"/>
        <v>46104</v>
      </c>
      <c r="Z321" s="375"/>
      <c r="AA321" s="249"/>
      <c r="AB321" s="391">
        <f t="shared" ca="1" si="36"/>
        <v>-46104</v>
      </c>
    </row>
    <row r="322" spans="1:28" ht="107.4" hidden="1" x14ac:dyDescent="1.95">
      <c r="A322" s="23">
        <f>'MODIFICAR CODIGOS '!A322</f>
        <v>0</v>
      </c>
      <c r="B322" s="271">
        <f>'MODIFICAR CODIGOS '!B322</f>
        <v>0</v>
      </c>
      <c r="C322" s="284">
        <f>'MODIFICAR CODIGOS '!C322</f>
        <v>0</v>
      </c>
      <c r="D322" s="23">
        <f>'MODIFICAR CODIGOS '!D322</f>
        <v>0</v>
      </c>
      <c r="E322" s="23">
        <f>'MODIFICAR CODIGOS '!E322</f>
        <v>1</v>
      </c>
      <c r="F322" s="220"/>
      <c r="G322" s="147"/>
      <c r="H322" s="147"/>
      <c r="I322" s="147"/>
      <c r="J322" s="147"/>
      <c r="K322" s="219"/>
      <c r="L322" s="220"/>
      <c r="M322" s="147"/>
      <c r="N322" s="147"/>
      <c r="O322" s="219"/>
      <c r="P322" s="143"/>
      <c r="Q322" s="147"/>
      <c r="R322" s="141"/>
      <c r="S322" s="220"/>
      <c r="T322" s="219"/>
      <c r="U322" s="359">
        <f t="shared" si="39"/>
        <v>0</v>
      </c>
      <c r="V322" s="365">
        <f t="shared" si="34"/>
        <v>0</v>
      </c>
      <c r="W322" s="366">
        <f t="shared" si="35"/>
        <v>0</v>
      </c>
      <c r="X322" s="362">
        <f t="shared" si="37"/>
        <v>0</v>
      </c>
      <c r="Y322" s="294">
        <f t="shared" ca="1" si="38"/>
        <v>46104</v>
      </c>
      <c r="Z322" s="375"/>
      <c r="AA322" s="249"/>
      <c r="AB322" s="391">
        <f t="shared" ca="1" si="36"/>
        <v>-46104</v>
      </c>
    </row>
    <row r="323" spans="1:28" ht="107.4" hidden="1" x14ac:dyDescent="1.95">
      <c r="A323" s="23">
        <f>'MODIFICAR CODIGOS '!A323</f>
        <v>0</v>
      </c>
      <c r="B323" s="271">
        <f>'MODIFICAR CODIGOS '!B323</f>
        <v>0</v>
      </c>
      <c r="C323" s="284">
        <f>'MODIFICAR CODIGOS '!C323</f>
        <v>0</v>
      </c>
      <c r="D323" s="23">
        <f>'MODIFICAR CODIGOS '!D323</f>
        <v>0</v>
      </c>
      <c r="E323" s="23">
        <f>'MODIFICAR CODIGOS '!E323</f>
        <v>1</v>
      </c>
      <c r="F323" s="220"/>
      <c r="G323" s="147"/>
      <c r="H323" s="147"/>
      <c r="I323" s="147"/>
      <c r="J323" s="147"/>
      <c r="K323" s="219"/>
      <c r="L323" s="220"/>
      <c r="M323" s="147"/>
      <c r="N323" s="147"/>
      <c r="O323" s="219"/>
      <c r="P323" s="143"/>
      <c r="Q323" s="147"/>
      <c r="R323" s="141"/>
      <c r="S323" s="220"/>
      <c r="T323" s="219"/>
      <c r="U323" s="359">
        <f t="shared" si="39"/>
        <v>0</v>
      </c>
      <c r="V323" s="365">
        <f t="shared" ref="V323:V386" si="40">(F323*C323+G323*C323+H323*C323+I323*C323+J323*C323+K323*C323+L323*D323+M323*D323+N323*D323+O323*D323+P323*1+Q323*1+R323*1+(TRUNC((S323+T323)/E323)))</f>
        <v>0</v>
      </c>
      <c r="W323" s="366">
        <f t="shared" ref="W323:W386" si="41">(((S323+T323)/E323-TRUNC((S323+T323)/E323))*E323)</f>
        <v>0</v>
      </c>
      <c r="X323" s="362">
        <f t="shared" si="37"/>
        <v>0</v>
      </c>
      <c r="Y323" s="294">
        <f t="shared" ca="1" si="38"/>
        <v>46104</v>
      </c>
      <c r="Z323" s="375"/>
      <c r="AA323" s="249"/>
      <c r="AB323" s="391">
        <f t="shared" ca="1" si="36"/>
        <v>-46104</v>
      </c>
    </row>
    <row r="324" spans="1:28" ht="107.4" hidden="1" x14ac:dyDescent="1.95">
      <c r="A324" s="23">
        <f>'MODIFICAR CODIGOS '!A324</f>
        <v>0</v>
      </c>
      <c r="B324" s="271">
        <f>'MODIFICAR CODIGOS '!B324</f>
        <v>0</v>
      </c>
      <c r="C324" s="284">
        <f>'MODIFICAR CODIGOS '!C324</f>
        <v>0</v>
      </c>
      <c r="D324" s="23">
        <f>'MODIFICAR CODIGOS '!D324</f>
        <v>0</v>
      </c>
      <c r="E324" s="23">
        <f>'MODIFICAR CODIGOS '!E324</f>
        <v>1</v>
      </c>
      <c r="F324" s="220"/>
      <c r="G324" s="147"/>
      <c r="H324" s="147"/>
      <c r="I324" s="147"/>
      <c r="J324" s="147"/>
      <c r="K324" s="219"/>
      <c r="L324" s="220"/>
      <c r="M324" s="147"/>
      <c r="N324" s="147"/>
      <c r="O324" s="219"/>
      <c r="P324" s="143"/>
      <c r="Q324" s="147"/>
      <c r="R324" s="141"/>
      <c r="S324" s="220"/>
      <c r="T324" s="219"/>
      <c r="U324" s="359">
        <f t="shared" si="39"/>
        <v>0</v>
      </c>
      <c r="V324" s="365">
        <f t="shared" si="40"/>
        <v>0</v>
      </c>
      <c r="W324" s="366">
        <f t="shared" si="41"/>
        <v>0</v>
      </c>
      <c r="X324" s="362">
        <f t="shared" si="37"/>
        <v>0</v>
      </c>
      <c r="Y324" s="294">
        <f t="shared" ca="1" si="38"/>
        <v>46104</v>
      </c>
      <c r="Z324" s="375"/>
      <c r="AA324" s="249"/>
      <c r="AB324" s="391">
        <f t="shared" ca="1" si="36"/>
        <v>-46104</v>
      </c>
    </row>
    <row r="325" spans="1:28" ht="107.4" hidden="1" x14ac:dyDescent="1.95">
      <c r="A325" s="23">
        <f>'MODIFICAR CODIGOS '!A325</f>
        <v>0</v>
      </c>
      <c r="B325" s="271">
        <f>'MODIFICAR CODIGOS '!B325</f>
        <v>0</v>
      </c>
      <c r="C325" s="284">
        <f>'MODIFICAR CODIGOS '!C325</f>
        <v>0</v>
      </c>
      <c r="D325" s="23">
        <f>'MODIFICAR CODIGOS '!D325</f>
        <v>0</v>
      </c>
      <c r="E325" s="23">
        <f>'MODIFICAR CODIGOS '!E325</f>
        <v>1</v>
      </c>
      <c r="F325" s="220"/>
      <c r="G325" s="147"/>
      <c r="H325" s="147"/>
      <c r="I325" s="147"/>
      <c r="J325" s="147"/>
      <c r="K325" s="219"/>
      <c r="L325" s="220"/>
      <c r="M325" s="147"/>
      <c r="N325" s="147"/>
      <c r="O325" s="219"/>
      <c r="P325" s="143"/>
      <c r="Q325" s="147"/>
      <c r="R325" s="141"/>
      <c r="S325" s="220"/>
      <c r="T325" s="219"/>
      <c r="U325" s="359">
        <f t="shared" si="39"/>
        <v>0</v>
      </c>
      <c r="V325" s="365">
        <f t="shared" si="40"/>
        <v>0</v>
      </c>
      <c r="W325" s="366">
        <f t="shared" si="41"/>
        <v>0</v>
      </c>
      <c r="X325" s="362">
        <f t="shared" si="37"/>
        <v>0</v>
      </c>
      <c r="Y325" s="294">
        <f t="shared" ca="1" si="38"/>
        <v>46104</v>
      </c>
      <c r="Z325" s="375"/>
      <c r="AA325" s="249"/>
      <c r="AB325" s="391">
        <f t="shared" ca="1" si="36"/>
        <v>-46104</v>
      </c>
    </row>
    <row r="326" spans="1:28" ht="108" hidden="1" customHeight="1" x14ac:dyDescent="1.95">
      <c r="A326" s="23">
        <f>'MODIFICAR CODIGOS '!A326</f>
        <v>0</v>
      </c>
      <c r="B326" s="271">
        <f>'MODIFICAR CODIGOS '!B326</f>
        <v>0</v>
      </c>
      <c r="C326" s="284">
        <f>'MODIFICAR CODIGOS '!C326</f>
        <v>0</v>
      </c>
      <c r="D326" s="23">
        <f>'MODIFICAR CODIGOS '!D326</f>
        <v>0</v>
      </c>
      <c r="E326" s="23">
        <f>'MODIFICAR CODIGOS '!E326</f>
        <v>1</v>
      </c>
      <c r="F326" s="220"/>
      <c r="G326" s="147"/>
      <c r="H326" s="147"/>
      <c r="I326" s="147"/>
      <c r="J326" s="147"/>
      <c r="K326" s="219"/>
      <c r="L326" s="220"/>
      <c r="M326" s="147"/>
      <c r="N326" s="147"/>
      <c r="O326" s="219"/>
      <c r="P326" s="143"/>
      <c r="Q326" s="147"/>
      <c r="R326" s="141"/>
      <c r="S326" s="220"/>
      <c r="T326" s="219"/>
      <c r="U326" s="359">
        <f t="shared" si="39"/>
        <v>0</v>
      </c>
      <c r="V326" s="365">
        <f t="shared" si="40"/>
        <v>0</v>
      </c>
      <c r="W326" s="366">
        <f t="shared" si="41"/>
        <v>0</v>
      </c>
      <c r="X326" s="362">
        <f t="shared" si="37"/>
        <v>0</v>
      </c>
      <c r="Y326" s="294">
        <f t="shared" ca="1" si="38"/>
        <v>46104</v>
      </c>
      <c r="Z326" s="375"/>
      <c r="AA326" s="249"/>
      <c r="AB326" s="391">
        <f t="shared" ca="1" si="36"/>
        <v>-46104</v>
      </c>
    </row>
    <row r="327" spans="1:28" ht="108" hidden="1" customHeight="1" x14ac:dyDescent="1.95">
      <c r="A327" s="23">
        <f>'MODIFICAR CODIGOS '!A327</f>
        <v>0</v>
      </c>
      <c r="B327" s="271">
        <f>'MODIFICAR CODIGOS '!B327</f>
        <v>0</v>
      </c>
      <c r="C327" s="284">
        <f>'MODIFICAR CODIGOS '!C327</f>
        <v>0</v>
      </c>
      <c r="D327" s="23">
        <f>'MODIFICAR CODIGOS '!D327</f>
        <v>0</v>
      </c>
      <c r="E327" s="23">
        <f>'MODIFICAR CODIGOS '!E327</f>
        <v>1</v>
      </c>
      <c r="F327" s="220"/>
      <c r="G327" s="147"/>
      <c r="H327" s="147"/>
      <c r="I327" s="147"/>
      <c r="J327" s="147"/>
      <c r="K327" s="219"/>
      <c r="L327" s="220"/>
      <c r="M327" s="147"/>
      <c r="N327" s="147"/>
      <c r="O327" s="219"/>
      <c r="P327" s="143"/>
      <c r="Q327" s="147"/>
      <c r="R327" s="141"/>
      <c r="S327" s="220"/>
      <c r="T327" s="219"/>
      <c r="U327" s="359">
        <f t="shared" si="39"/>
        <v>0</v>
      </c>
      <c r="V327" s="365">
        <f t="shared" si="40"/>
        <v>0</v>
      </c>
      <c r="W327" s="366">
        <f t="shared" si="41"/>
        <v>0</v>
      </c>
      <c r="X327" s="362">
        <f t="shared" si="37"/>
        <v>0</v>
      </c>
      <c r="Y327" s="294">
        <f t="shared" ca="1" si="38"/>
        <v>46104</v>
      </c>
      <c r="Z327" s="375"/>
      <c r="AA327" s="249"/>
      <c r="AB327" s="391">
        <f t="shared" ca="1" si="36"/>
        <v>-46104</v>
      </c>
    </row>
    <row r="328" spans="1:28" ht="107.4" hidden="1" x14ac:dyDescent="1.95">
      <c r="A328" s="23">
        <f>'MODIFICAR CODIGOS '!A328</f>
        <v>0</v>
      </c>
      <c r="B328" s="271">
        <f>'MODIFICAR CODIGOS '!B328</f>
        <v>0</v>
      </c>
      <c r="C328" s="284">
        <f>'MODIFICAR CODIGOS '!C328</f>
        <v>0</v>
      </c>
      <c r="D328" s="23">
        <f>'MODIFICAR CODIGOS '!D328</f>
        <v>0</v>
      </c>
      <c r="E328" s="23">
        <f>'MODIFICAR CODIGOS '!E328</f>
        <v>1</v>
      </c>
      <c r="F328" s="220"/>
      <c r="G328" s="147"/>
      <c r="H328" s="147"/>
      <c r="I328" s="147"/>
      <c r="J328" s="147"/>
      <c r="K328" s="219"/>
      <c r="L328" s="220"/>
      <c r="M328" s="147"/>
      <c r="N328" s="147"/>
      <c r="O328" s="219"/>
      <c r="P328" s="143"/>
      <c r="Q328" s="147"/>
      <c r="R328" s="141"/>
      <c r="S328" s="220"/>
      <c r="T328" s="219"/>
      <c r="U328" s="359">
        <f t="shared" si="39"/>
        <v>0</v>
      </c>
      <c r="V328" s="365">
        <f t="shared" si="40"/>
        <v>0</v>
      </c>
      <c r="W328" s="366">
        <f t="shared" si="41"/>
        <v>0</v>
      </c>
      <c r="X328" s="362">
        <f t="shared" si="37"/>
        <v>0</v>
      </c>
      <c r="Y328" s="294">
        <f t="shared" ca="1" si="38"/>
        <v>46104</v>
      </c>
      <c r="Z328" s="375"/>
      <c r="AA328" s="249"/>
      <c r="AB328" s="391">
        <f t="shared" ca="1" si="36"/>
        <v>-46104</v>
      </c>
    </row>
    <row r="329" spans="1:28" ht="107.4" hidden="1" x14ac:dyDescent="1.95">
      <c r="A329" s="23">
        <f>'MODIFICAR CODIGOS '!A329</f>
        <v>0</v>
      </c>
      <c r="B329" s="271">
        <f>'MODIFICAR CODIGOS '!B329</f>
        <v>0</v>
      </c>
      <c r="C329" s="284">
        <f>'MODIFICAR CODIGOS '!C329</f>
        <v>0</v>
      </c>
      <c r="D329" s="23">
        <f>'MODIFICAR CODIGOS '!D329</f>
        <v>0</v>
      </c>
      <c r="E329" s="23">
        <f>'MODIFICAR CODIGOS '!E329</f>
        <v>1</v>
      </c>
      <c r="F329" s="220"/>
      <c r="G329" s="147"/>
      <c r="H329" s="147"/>
      <c r="I329" s="147"/>
      <c r="J329" s="147"/>
      <c r="K329" s="219"/>
      <c r="L329" s="220"/>
      <c r="M329" s="147"/>
      <c r="N329" s="147"/>
      <c r="O329" s="219"/>
      <c r="P329" s="143"/>
      <c r="Q329" s="147"/>
      <c r="R329" s="141"/>
      <c r="S329" s="220"/>
      <c r="T329" s="219"/>
      <c r="U329" s="359">
        <f t="shared" si="39"/>
        <v>0</v>
      </c>
      <c r="V329" s="365">
        <f t="shared" si="40"/>
        <v>0</v>
      </c>
      <c r="W329" s="366">
        <f t="shared" si="41"/>
        <v>0</v>
      </c>
      <c r="X329" s="362">
        <f t="shared" si="37"/>
        <v>0</v>
      </c>
      <c r="Y329" s="294">
        <f t="shared" ca="1" si="38"/>
        <v>46104</v>
      </c>
      <c r="Z329" s="375"/>
      <c r="AA329" s="249"/>
      <c r="AB329" s="391">
        <f t="shared" ca="1" si="36"/>
        <v>-46104</v>
      </c>
    </row>
    <row r="330" spans="1:28" ht="107.4" hidden="1" x14ac:dyDescent="1.95">
      <c r="A330" s="23">
        <f>'MODIFICAR CODIGOS '!A330</f>
        <v>0</v>
      </c>
      <c r="B330" s="271">
        <f>'MODIFICAR CODIGOS '!B330</f>
        <v>0</v>
      </c>
      <c r="C330" s="284">
        <f>'MODIFICAR CODIGOS '!C330</f>
        <v>0</v>
      </c>
      <c r="D330" s="23">
        <f>'MODIFICAR CODIGOS '!D330</f>
        <v>0</v>
      </c>
      <c r="E330" s="23">
        <f>'MODIFICAR CODIGOS '!E330</f>
        <v>1</v>
      </c>
      <c r="F330" s="220"/>
      <c r="G330" s="147"/>
      <c r="H330" s="147"/>
      <c r="I330" s="147"/>
      <c r="J330" s="147"/>
      <c r="K330" s="219"/>
      <c r="L330" s="220"/>
      <c r="M330" s="147"/>
      <c r="N330" s="147"/>
      <c r="O330" s="219"/>
      <c r="P330" s="143"/>
      <c r="Q330" s="147"/>
      <c r="R330" s="141"/>
      <c r="S330" s="220"/>
      <c r="T330" s="219"/>
      <c r="U330" s="359">
        <f t="shared" si="39"/>
        <v>0</v>
      </c>
      <c r="V330" s="365">
        <f t="shared" si="40"/>
        <v>0</v>
      </c>
      <c r="W330" s="366">
        <f t="shared" si="41"/>
        <v>0</v>
      </c>
      <c r="X330" s="362">
        <f t="shared" si="37"/>
        <v>0</v>
      </c>
      <c r="Y330" s="294">
        <f t="shared" ca="1" si="38"/>
        <v>46104</v>
      </c>
      <c r="Z330" s="375"/>
      <c r="AA330" s="249"/>
      <c r="AB330" s="391">
        <f t="shared" ca="1" si="36"/>
        <v>-46104</v>
      </c>
    </row>
    <row r="331" spans="1:28" ht="107.4" hidden="1" x14ac:dyDescent="1.95">
      <c r="A331" s="23">
        <f>'MODIFICAR CODIGOS '!A331</f>
        <v>0</v>
      </c>
      <c r="B331" s="271">
        <f>'MODIFICAR CODIGOS '!B331</f>
        <v>0</v>
      </c>
      <c r="C331" s="284">
        <f>'MODIFICAR CODIGOS '!C331</f>
        <v>0</v>
      </c>
      <c r="D331" s="23">
        <f>'MODIFICAR CODIGOS '!D331</f>
        <v>0</v>
      </c>
      <c r="E331" s="23">
        <f>'MODIFICAR CODIGOS '!E331</f>
        <v>1</v>
      </c>
      <c r="F331" s="220"/>
      <c r="G331" s="147"/>
      <c r="H331" s="147"/>
      <c r="I331" s="147"/>
      <c r="J331" s="147"/>
      <c r="K331" s="219"/>
      <c r="L331" s="220"/>
      <c r="M331" s="147"/>
      <c r="N331" s="147"/>
      <c r="O331" s="219"/>
      <c r="P331" s="143"/>
      <c r="Q331" s="147"/>
      <c r="R331" s="141"/>
      <c r="S331" s="220"/>
      <c r="T331" s="219"/>
      <c r="U331" s="359">
        <f t="shared" si="39"/>
        <v>0</v>
      </c>
      <c r="V331" s="365">
        <f t="shared" si="40"/>
        <v>0</v>
      </c>
      <c r="W331" s="366">
        <f t="shared" si="41"/>
        <v>0</v>
      </c>
      <c r="X331" s="362">
        <f t="shared" si="37"/>
        <v>0</v>
      </c>
      <c r="Y331" s="294">
        <f t="shared" ca="1" si="38"/>
        <v>46104</v>
      </c>
      <c r="Z331" s="375"/>
      <c r="AA331" s="249"/>
      <c r="AB331" s="391">
        <f t="shared" ca="1" si="36"/>
        <v>-46104</v>
      </c>
    </row>
    <row r="332" spans="1:28" ht="107.4" hidden="1" x14ac:dyDescent="1.95">
      <c r="A332" s="23">
        <f>'MODIFICAR CODIGOS '!A332</f>
        <v>0</v>
      </c>
      <c r="B332" s="271">
        <f>'MODIFICAR CODIGOS '!B332</f>
        <v>0</v>
      </c>
      <c r="C332" s="284">
        <f>'MODIFICAR CODIGOS '!C332</f>
        <v>0</v>
      </c>
      <c r="D332" s="23">
        <f>'MODIFICAR CODIGOS '!D332</f>
        <v>0</v>
      </c>
      <c r="E332" s="23">
        <f>'MODIFICAR CODIGOS '!E332</f>
        <v>1</v>
      </c>
      <c r="F332" s="220"/>
      <c r="G332" s="147"/>
      <c r="H332" s="147"/>
      <c r="I332" s="147"/>
      <c r="J332" s="147"/>
      <c r="K332" s="219"/>
      <c r="L332" s="220"/>
      <c r="M332" s="147"/>
      <c r="N332" s="147"/>
      <c r="O332" s="219"/>
      <c r="P332" s="143"/>
      <c r="Q332" s="147"/>
      <c r="R332" s="141"/>
      <c r="S332" s="220"/>
      <c r="T332" s="219"/>
      <c r="U332" s="359">
        <f t="shared" si="39"/>
        <v>0</v>
      </c>
      <c r="V332" s="365">
        <f t="shared" si="40"/>
        <v>0</v>
      </c>
      <c r="W332" s="366">
        <f t="shared" si="41"/>
        <v>0</v>
      </c>
      <c r="X332" s="362">
        <f t="shared" si="37"/>
        <v>0</v>
      </c>
      <c r="Y332" s="294">
        <f t="shared" ca="1" si="38"/>
        <v>46104</v>
      </c>
      <c r="Z332" s="375"/>
      <c r="AA332" s="249"/>
      <c r="AB332" s="391">
        <f t="shared" ca="1" si="36"/>
        <v>-46104</v>
      </c>
    </row>
    <row r="333" spans="1:28" ht="107.4" hidden="1" x14ac:dyDescent="1.95">
      <c r="A333" s="23">
        <f>'MODIFICAR CODIGOS '!A333</f>
        <v>0</v>
      </c>
      <c r="B333" s="271">
        <f>'MODIFICAR CODIGOS '!B333</f>
        <v>0</v>
      </c>
      <c r="C333" s="284">
        <f>'MODIFICAR CODIGOS '!C333</f>
        <v>0</v>
      </c>
      <c r="D333" s="23">
        <f>'MODIFICAR CODIGOS '!D333</f>
        <v>0</v>
      </c>
      <c r="E333" s="23">
        <f>'MODIFICAR CODIGOS '!E333</f>
        <v>1</v>
      </c>
      <c r="F333" s="220"/>
      <c r="G333" s="147"/>
      <c r="H333" s="147"/>
      <c r="I333" s="147"/>
      <c r="J333" s="147"/>
      <c r="K333" s="219"/>
      <c r="L333" s="220"/>
      <c r="M333" s="147"/>
      <c r="N333" s="147"/>
      <c r="O333" s="219"/>
      <c r="P333" s="143"/>
      <c r="Q333" s="147"/>
      <c r="R333" s="141"/>
      <c r="S333" s="220"/>
      <c r="T333" s="219"/>
      <c r="U333" s="359">
        <f t="shared" si="39"/>
        <v>0</v>
      </c>
      <c r="V333" s="365">
        <f t="shared" si="40"/>
        <v>0</v>
      </c>
      <c r="W333" s="366">
        <f t="shared" si="41"/>
        <v>0</v>
      </c>
      <c r="X333" s="362">
        <f t="shared" si="37"/>
        <v>0</v>
      </c>
      <c r="Y333" s="294">
        <f t="shared" ca="1" si="38"/>
        <v>46104</v>
      </c>
      <c r="Z333" s="375"/>
      <c r="AA333" s="249"/>
      <c r="AB333" s="391">
        <f t="shared" ca="1" si="36"/>
        <v>-46104</v>
      </c>
    </row>
    <row r="334" spans="1:28" ht="107.4" hidden="1" x14ac:dyDescent="1.95">
      <c r="A334" s="23">
        <f>'MODIFICAR CODIGOS '!A334</f>
        <v>0</v>
      </c>
      <c r="B334" s="271">
        <f>'MODIFICAR CODIGOS '!B334</f>
        <v>0</v>
      </c>
      <c r="C334" s="284">
        <f>'MODIFICAR CODIGOS '!C334</f>
        <v>0</v>
      </c>
      <c r="D334" s="23">
        <f>'MODIFICAR CODIGOS '!D334</f>
        <v>0</v>
      </c>
      <c r="E334" s="23">
        <f>'MODIFICAR CODIGOS '!E334</f>
        <v>1</v>
      </c>
      <c r="F334" s="220"/>
      <c r="G334" s="147"/>
      <c r="H334" s="147"/>
      <c r="I334" s="147"/>
      <c r="J334" s="147"/>
      <c r="K334" s="219"/>
      <c r="L334" s="220"/>
      <c r="M334" s="147"/>
      <c r="N334" s="147"/>
      <c r="O334" s="219"/>
      <c r="P334" s="143"/>
      <c r="Q334" s="147"/>
      <c r="R334" s="141"/>
      <c r="S334" s="220"/>
      <c r="T334" s="219"/>
      <c r="U334" s="359">
        <f t="shared" si="39"/>
        <v>0</v>
      </c>
      <c r="V334" s="365">
        <f t="shared" si="40"/>
        <v>0</v>
      </c>
      <c r="W334" s="366">
        <f t="shared" si="41"/>
        <v>0</v>
      </c>
      <c r="X334" s="362">
        <f t="shared" si="37"/>
        <v>0</v>
      </c>
      <c r="Y334" s="294">
        <f t="shared" ca="1" si="38"/>
        <v>46104</v>
      </c>
      <c r="Z334" s="375"/>
      <c r="AA334" s="249"/>
      <c r="AB334" s="391">
        <f t="shared" ca="1" si="36"/>
        <v>-46104</v>
      </c>
    </row>
    <row r="335" spans="1:28" ht="107.4" hidden="1" x14ac:dyDescent="1.95">
      <c r="A335" s="23">
        <f>'MODIFICAR CODIGOS '!A335</f>
        <v>0</v>
      </c>
      <c r="B335" s="271">
        <f>'MODIFICAR CODIGOS '!B335</f>
        <v>0</v>
      </c>
      <c r="C335" s="284">
        <f>'MODIFICAR CODIGOS '!C335</f>
        <v>0</v>
      </c>
      <c r="D335" s="23">
        <f>'MODIFICAR CODIGOS '!D335</f>
        <v>0</v>
      </c>
      <c r="E335" s="23">
        <f>'MODIFICAR CODIGOS '!E335</f>
        <v>1</v>
      </c>
      <c r="F335" s="220"/>
      <c r="G335" s="147"/>
      <c r="H335" s="147"/>
      <c r="I335" s="147"/>
      <c r="J335" s="147"/>
      <c r="K335" s="219"/>
      <c r="L335" s="220"/>
      <c r="M335" s="147"/>
      <c r="N335" s="147"/>
      <c r="O335" s="219"/>
      <c r="P335" s="143"/>
      <c r="Q335" s="147"/>
      <c r="R335" s="141"/>
      <c r="S335" s="220"/>
      <c r="T335" s="219"/>
      <c r="U335" s="359">
        <f t="shared" si="39"/>
        <v>0</v>
      </c>
      <c r="V335" s="365">
        <f t="shared" si="40"/>
        <v>0</v>
      </c>
      <c r="W335" s="366">
        <f t="shared" si="41"/>
        <v>0</v>
      </c>
      <c r="X335" s="362">
        <f t="shared" si="37"/>
        <v>0</v>
      </c>
      <c r="Y335" s="294">
        <f t="shared" ca="1" si="38"/>
        <v>46104</v>
      </c>
      <c r="Z335" s="375"/>
      <c r="AA335" s="249"/>
      <c r="AB335" s="391">
        <f t="shared" ca="1" si="36"/>
        <v>-46104</v>
      </c>
    </row>
    <row r="336" spans="1:28" ht="107.4" hidden="1" x14ac:dyDescent="1.95">
      <c r="A336" s="23">
        <f>'MODIFICAR CODIGOS '!A336</f>
        <v>0</v>
      </c>
      <c r="B336" s="271">
        <f>'MODIFICAR CODIGOS '!B336</f>
        <v>0</v>
      </c>
      <c r="C336" s="284">
        <f>'MODIFICAR CODIGOS '!C336</f>
        <v>0</v>
      </c>
      <c r="D336" s="23">
        <f>'MODIFICAR CODIGOS '!D336</f>
        <v>0</v>
      </c>
      <c r="E336" s="23">
        <f>'MODIFICAR CODIGOS '!E336</f>
        <v>1</v>
      </c>
      <c r="F336" s="220"/>
      <c r="G336" s="147"/>
      <c r="H336" s="147"/>
      <c r="I336" s="147"/>
      <c r="J336" s="147"/>
      <c r="K336" s="219"/>
      <c r="L336" s="220"/>
      <c r="M336" s="147"/>
      <c r="N336" s="147"/>
      <c r="O336" s="219"/>
      <c r="P336" s="143"/>
      <c r="Q336" s="147"/>
      <c r="R336" s="141"/>
      <c r="S336" s="220"/>
      <c r="T336" s="219"/>
      <c r="U336" s="359">
        <f t="shared" si="39"/>
        <v>0</v>
      </c>
      <c r="V336" s="365">
        <f t="shared" si="40"/>
        <v>0</v>
      </c>
      <c r="W336" s="366">
        <f t="shared" si="41"/>
        <v>0</v>
      </c>
      <c r="X336" s="362">
        <f t="shared" si="37"/>
        <v>0</v>
      </c>
      <c r="Y336" s="294">
        <f t="shared" ca="1" si="38"/>
        <v>46104</v>
      </c>
      <c r="Z336" s="375"/>
      <c r="AA336" s="249"/>
      <c r="AB336" s="391">
        <f t="shared" ca="1" si="36"/>
        <v>-46104</v>
      </c>
    </row>
    <row r="337" spans="1:28" ht="107.4" hidden="1" x14ac:dyDescent="1.95">
      <c r="A337" s="23">
        <f>'MODIFICAR CODIGOS '!A337</f>
        <v>0</v>
      </c>
      <c r="B337" s="271">
        <f>'MODIFICAR CODIGOS '!B337</f>
        <v>0</v>
      </c>
      <c r="C337" s="284">
        <f>'MODIFICAR CODIGOS '!C337</f>
        <v>0</v>
      </c>
      <c r="D337" s="23">
        <f>'MODIFICAR CODIGOS '!D337</f>
        <v>0</v>
      </c>
      <c r="E337" s="23">
        <f>'MODIFICAR CODIGOS '!E337</f>
        <v>1</v>
      </c>
      <c r="F337" s="220"/>
      <c r="G337" s="147"/>
      <c r="H337" s="147"/>
      <c r="I337" s="147"/>
      <c r="J337" s="147"/>
      <c r="K337" s="219"/>
      <c r="L337" s="220"/>
      <c r="M337" s="147"/>
      <c r="N337" s="147"/>
      <c r="O337" s="219"/>
      <c r="P337" s="143"/>
      <c r="Q337" s="147"/>
      <c r="R337" s="141"/>
      <c r="S337" s="220"/>
      <c r="T337" s="219"/>
      <c r="U337" s="359">
        <f t="shared" si="39"/>
        <v>0</v>
      </c>
      <c r="V337" s="365">
        <f t="shared" si="40"/>
        <v>0</v>
      </c>
      <c r="W337" s="366">
        <f t="shared" si="41"/>
        <v>0</v>
      </c>
      <c r="X337" s="362">
        <f t="shared" si="37"/>
        <v>0</v>
      </c>
      <c r="Y337" s="294">
        <f t="shared" ca="1" si="38"/>
        <v>46104</v>
      </c>
      <c r="Z337" s="375"/>
      <c r="AA337" s="249"/>
      <c r="AB337" s="391">
        <f t="shared" ca="1" si="36"/>
        <v>-46104</v>
      </c>
    </row>
    <row r="338" spans="1:28" ht="107.4" hidden="1" x14ac:dyDescent="1.95">
      <c r="A338" s="23">
        <f>'MODIFICAR CODIGOS '!A338</f>
        <v>0</v>
      </c>
      <c r="B338" s="271">
        <f>'MODIFICAR CODIGOS '!B338</f>
        <v>0</v>
      </c>
      <c r="C338" s="284">
        <f>'MODIFICAR CODIGOS '!C338</f>
        <v>0</v>
      </c>
      <c r="D338" s="23">
        <f>'MODIFICAR CODIGOS '!D338</f>
        <v>0</v>
      </c>
      <c r="E338" s="23">
        <f>'MODIFICAR CODIGOS '!E338</f>
        <v>1</v>
      </c>
      <c r="F338" s="220"/>
      <c r="G338" s="147"/>
      <c r="H338" s="147"/>
      <c r="I338" s="147"/>
      <c r="J338" s="147"/>
      <c r="K338" s="219"/>
      <c r="L338" s="220"/>
      <c r="M338" s="147"/>
      <c r="N338" s="147"/>
      <c r="O338" s="219"/>
      <c r="P338" s="143"/>
      <c r="Q338" s="147"/>
      <c r="R338" s="141"/>
      <c r="S338" s="220"/>
      <c r="T338" s="219"/>
      <c r="U338" s="359">
        <f t="shared" si="39"/>
        <v>0</v>
      </c>
      <c r="V338" s="365">
        <f t="shared" si="40"/>
        <v>0</v>
      </c>
      <c r="W338" s="366">
        <f t="shared" si="41"/>
        <v>0</v>
      </c>
      <c r="X338" s="362">
        <f t="shared" si="37"/>
        <v>0</v>
      </c>
      <c r="Y338" s="294">
        <f t="shared" ca="1" si="38"/>
        <v>46104</v>
      </c>
      <c r="Z338" s="375"/>
      <c r="AA338" s="249"/>
      <c r="AB338" s="391">
        <f t="shared" ca="1" si="36"/>
        <v>-46104</v>
      </c>
    </row>
    <row r="339" spans="1:28" ht="107.4" hidden="1" x14ac:dyDescent="1.95">
      <c r="A339" s="23">
        <f>'MODIFICAR CODIGOS '!A339</f>
        <v>0</v>
      </c>
      <c r="B339" s="271">
        <f>'MODIFICAR CODIGOS '!B339</f>
        <v>0</v>
      </c>
      <c r="C339" s="284">
        <f>'MODIFICAR CODIGOS '!C339</f>
        <v>0</v>
      </c>
      <c r="D339" s="23">
        <f>'MODIFICAR CODIGOS '!D339</f>
        <v>0</v>
      </c>
      <c r="E339" s="23">
        <f>'MODIFICAR CODIGOS '!E339</f>
        <v>1</v>
      </c>
      <c r="F339" s="220"/>
      <c r="G339" s="147"/>
      <c r="H339" s="147"/>
      <c r="I339" s="147"/>
      <c r="J339" s="147"/>
      <c r="K339" s="219"/>
      <c r="L339" s="220"/>
      <c r="M339" s="147"/>
      <c r="N339" s="147"/>
      <c r="O339" s="219"/>
      <c r="P339" s="143"/>
      <c r="Q339" s="147"/>
      <c r="R339" s="141"/>
      <c r="S339" s="220"/>
      <c r="T339" s="219"/>
      <c r="U339" s="359">
        <f t="shared" si="39"/>
        <v>0</v>
      </c>
      <c r="V339" s="365">
        <f t="shared" si="40"/>
        <v>0</v>
      </c>
      <c r="W339" s="366">
        <f t="shared" si="41"/>
        <v>0</v>
      </c>
      <c r="X339" s="362">
        <f t="shared" si="37"/>
        <v>0</v>
      </c>
      <c r="Y339" s="294">
        <f t="shared" ca="1" si="38"/>
        <v>46104</v>
      </c>
      <c r="Z339" s="375"/>
      <c r="AA339" s="249"/>
      <c r="AB339" s="391">
        <f t="shared" ca="1" si="36"/>
        <v>-46104</v>
      </c>
    </row>
    <row r="340" spans="1:28" ht="107.4" x14ac:dyDescent="1.95">
      <c r="A340" s="23" t="str">
        <f>'MODIFICAR CODIGOS '!A340</f>
        <v>*</v>
      </c>
      <c r="B340" s="271">
        <f>'MODIFICAR CODIGOS '!B340</f>
        <v>0</v>
      </c>
      <c r="C340" s="284">
        <f>'MODIFICAR CODIGOS '!C340</f>
        <v>0</v>
      </c>
      <c r="D340" s="23">
        <f>'MODIFICAR CODIGOS '!D340</f>
        <v>0</v>
      </c>
      <c r="E340" s="23">
        <f>'MODIFICAR CODIGOS '!E340</f>
        <v>1</v>
      </c>
      <c r="F340" s="220"/>
      <c r="G340" s="147"/>
      <c r="H340" s="147"/>
      <c r="I340" s="147"/>
      <c r="J340" s="147"/>
      <c r="K340" s="219"/>
      <c r="L340" s="220"/>
      <c r="M340" s="147"/>
      <c r="N340" s="147"/>
      <c r="O340" s="219"/>
      <c r="P340" s="143"/>
      <c r="Q340" s="147"/>
      <c r="R340" s="141"/>
      <c r="S340" s="220"/>
      <c r="T340" s="219"/>
      <c r="U340" s="359">
        <f t="shared" si="39"/>
        <v>0</v>
      </c>
      <c r="V340" s="365">
        <f t="shared" si="40"/>
        <v>0</v>
      </c>
      <c r="W340" s="366">
        <f t="shared" si="41"/>
        <v>0</v>
      </c>
      <c r="X340" s="362">
        <f t="shared" si="37"/>
        <v>0</v>
      </c>
      <c r="Y340" s="294">
        <f t="shared" ca="1" si="38"/>
        <v>46104</v>
      </c>
      <c r="Z340" s="375"/>
      <c r="AA340" s="249"/>
      <c r="AB340" s="391">
        <f t="shared" ca="1" si="36"/>
        <v>-46104</v>
      </c>
    </row>
    <row r="341" spans="1:28" ht="108" hidden="1" customHeight="1" x14ac:dyDescent="1.95">
      <c r="A341" s="23">
        <f>'MODIFICAR CODIGOS '!A341</f>
        <v>0</v>
      </c>
      <c r="B341" s="270">
        <f>'MODIFICAR CODIGOS '!B341</f>
        <v>0</v>
      </c>
      <c r="C341" s="284">
        <f>'MODIFICAR CODIGOS '!C341</f>
        <v>0</v>
      </c>
      <c r="D341" s="23">
        <f>'MODIFICAR CODIGOS '!D341</f>
        <v>0</v>
      </c>
      <c r="E341" s="23">
        <f>'MODIFICAR CODIGOS '!E341</f>
        <v>6</v>
      </c>
      <c r="F341" s="220"/>
      <c r="G341" s="147"/>
      <c r="H341" s="147"/>
      <c r="I341" s="147"/>
      <c r="J341" s="147"/>
      <c r="K341" s="219"/>
      <c r="L341" s="220"/>
      <c r="M341" s="147"/>
      <c r="N341" s="147"/>
      <c r="O341" s="219"/>
      <c r="P341" s="143"/>
      <c r="Q341" s="147"/>
      <c r="R341" s="141"/>
      <c r="S341" s="220"/>
      <c r="T341" s="219"/>
      <c r="U341" s="359">
        <f t="shared" si="39"/>
        <v>0</v>
      </c>
      <c r="V341" s="365">
        <f t="shared" si="40"/>
        <v>0</v>
      </c>
      <c r="W341" s="366">
        <f t="shared" si="41"/>
        <v>0</v>
      </c>
      <c r="X341" s="362">
        <f t="shared" si="37"/>
        <v>0</v>
      </c>
      <c r="Y341" s="294">
        <f t="shared" ca="1" si="38"/>
        <v>46104</v>
      </c>
      <c r="Z341" s="375"/>
      <c r="AA341" s="384"/>
      <c r="AB341" s="391">
        <f t="shared" ca="1" si="36"/>
        <v>-46104</v>
      </c>
    </row>
    <row r="342" spans="1:28" ht="108" customHeight="1" x14ac:dyDescent="1.95">
      <c r="A342" s="23">
        <f>'MODIFICAR CODIGOS '!A342</f>
        <v>160289</v>
      </c>
      <c r="B342" s="270" t="str">
        <f>'MODIFICAR CODIGOS '!B342</f>
        <v>6 PACK BRISA 280 PET</v>
      </c>
      <c r="C342" s="284">
        <f>'MODIFICAR CODIGOS '!C342</f>
        <v>0</v>
      </c>
      <c r="D342" s="23">
        <f>'MODIFICAR CODIGOS '!D342</f>
        <v>0</v>
      </c>
      <c r="E342" s="23">
        <f>'MODIFICAR CODIGOS '!E342</f>
        <v>6</v>
      </c>
      <c r="F342" s="220"/>
      <c r="G342" s="147"/>
      <c r="H342" s="147"/>
      <c r="I342" s="147"/>
      <c r="J342" s="147"/>
      <c r="K342" s="219"/>
      <c r="L342" s="220"/>
      <c r="M342" s="147"/>
      <c r="N342" s="147"/>
      <c r="O342" s="219"/>
      <c r="P342" s="143"/>
      <c r="Q342" s="147">
        <v>30</v>
      </c>
      <c r="R342" s="141"/>
      <c r="S342" s="220"/>
      <c r="T342" s="219"/>
      <c r="U342" s="359">
        <f t="shared" si="39"/>
        <v>30</v>
      </c>
      <c r="V342" s="365">
        <f t="shared" si="40"/>
        <v>30</v>
      </c>
      <c r="W342" s="366">
        <f t="shared" si="41"/>
        <v>0</v>
      </c>
      <c r="X342" s="362">
        <f t="shared" si="37"/>
        <v>30</v>
      </c>
      <c r="Y342" s="294">
        <f t="shared" ca="1" si="38"/>
        <v>46104</v>
      </c>
      <c r="Z342" s="375"/>
      <c r="AA342" s="384"/>
      <c r="AB342" s="391">
        <f t="shared" ca="1" si="36"/>
        <v>-46104</v>
      </c>
    </row>
    <row r="343" spans="1:28" ht="108" customHeight="1" x14ac:dyDescent="1.95">
      <c r="A343" s="23">
        <f>'MODIFICAR CODIGOS '!A343</f>
        <v>92881</v>
      </c>
      <c r="B343" s="271" t="str">
        <f>'MODIFICAR CODIGOS '!B343</f>
        <v xml:space="preserve">6 PACK BRISA SURTIDA </v>
      </c>
      <c r="C343" s="284">
        <f>'MODIFICAR CODIGOS '!C343</f>
        <v>0</v>
      </c>
      <c r="D343" s="23">
        <f>'MODIFICAR CODIGOS '!D343</f>
        <v>0</v>
      </c>
      <c r="E343" s="23">
        <f>'MODIFICAR CODIGOS '!E343</f>
        <v>6</v>
      </c>
      <c r="F343" s="220"/>
      <c r="G343" s="147"/>
      <c r="H343" s="147"/>
      <c r="I343" s="147"/>
      <c r="J343" s="147"/>
      <c r="K343" s="219"/>
      <c r="L343" s="220"/>
      <c r="M343" s="147"/>
      <c r="N343" s="147"/>
      <c r="O343" s="219"/>
      <c r="P343" s="143"/>
      <c r="Q343" s="147"/>
      <c r="R343" s="141"/>
      <c r="S343" s="220"/>
      <c r="T343" s="219"/>
      <c r="U343" s="359">
        <f t="shared" si="39"/>
        <v>0</v>
      </c>
      <c r="V343" s="365">
        <f t="shared" si="40"/>
        <v>0</v>
      </c>
      <c r="W343" s="366">
        <f t="shared" si="41"/>
        <v>0</v>
      </c>
      <c r="X343" s="362">
        <f t="shared" si="37"/>
        <v>0</v>
      </c>
      <c r="Y343" s="294">
        <f t="shared" ca="1" si="38"/>
        <v>46104</v>
      </c>
      <c r="Z343" s="375"/>
      <c r="AA343" s="384"/>
      <c r="AB343" s="391">
        <f t="shared" ca="1" si="36"/>
        <v>-46104</v>
      </c>
    </row>
    <row r="344" spans="1:28" ht="108" hidden="1" customHeight="1" x14ac:dyDescent="1.95">
      <c r="A344" s="23">
        <f>'MODIFICAR CODIGOS '!A344</f>
        <v>0</v>
      </c>
      <c r="B344" s="271">
        <f>'MODIFICAR CODIGOS '!B344</f>
        <v>0</v>
      </c>
      <c r="C344" s="284">
        <f>'MODIFICAR CODIGOS '!C344</f>
        <v>0</v>
      </c>
      <c r="D344" s="23">
        <f>'MODIFICAR CODIGOS '!D344</f>
        <v>0</v>
      </c>
      <c r="E344" s="23">
        <f>'MODIFICAR CODIGOS '!E344</f>
        <v>1</v>
      </c>
      <c r="F344" s="220"/>
      <c r="G344" s="147"/>
      <c r="H344" s="147"/>
      <c r="I344" s="147"/>
      <c r="J344" s="147"/>
      <c r="K344" s="219"/>
      <c r="L344" s="220"/>
      <c r="M344" s="147"/>
      <c r="N344" s="147"/>
      <c r="O344" s="219"/>
      <c r="P344" s="143"/>
      <c r="Q344" s="147"/>
      <c r="R344" s="141"/>
      <c r="S344" s="220"/>
      <c r="T344" s="219"/>
      <c r="U344" s="359">
        <f t="shared" si="39"/>
        <v>0</v>
      </c>
      <c r="V344" s="365">
        <f t="shared" si="40"/>
        <v>0</v>
      </c>
      <c r="W344" s="366">
        <f t="shared" si="41"/>
        <v>0</v>
      </c>
      <c r="X344" s="362">
        <f t="shared" si="37"/>
        <v>0</v>
      </c>
      <c r="Y344" s="294">
        <f t="shared" ca="1" si="38"/>
        <v>46104</v>
      </c>
      <c r="Z344" s="375"/>
      <c r="AA344" s="249"/>
      <c r="AB344" s="391">
        <f t="shared" ca="1" si="36"/>
        <v>-46104</v>
      </c>
    </row>
    <row r="345" spans="1:28" ht="108" hidden="1" customHeight="1" x14ac:dyDescent="1.95">
      <c r="A345" s="23">
        <f>'MODIFICAR CODIGOS '!A345</f>
        <v>0</v>
      </c>
      <c r="B345" s="271">
        <f>'MODIFICAR CODIGOS '!B345</f>
        <v>0</v>
      </c>
      <c r="C345" s="284">
        <f>'MODIFICAR CODIGOS '!C345</f>
        <v>0</v>
      </c>
      <c r="D345" s="23">
        <f>'MODIFICAR CODIGOS '!D345</f>
        <v>0</v>
      </c>
      <c r="E345" s="23">
        <f>'MODIFICAR CODIGOS '!E345</f>
        <v>1</v>
      </c>
      <c r="F345" s="220"/>
      <c r="G345" s="147"/>
      <c r="H345" s="147"/>
      <c r="I345" s="147"/>
      <c r="J345" s="147"/>
      <c r="K345" s="219"/>
      <c r="L345" s="220"/>
      <c r="M345" s="147"/>
      <c r="N345" s="147"/>
      <c r="O345" s="219"/>
      <c r="P345" s="143"/>
      <c r="Q345" s="147"/>
      <c r="R345" s="141"/>
      <c r="S345" s="220"/>
      <c r="T345" s="219"/>
      <c r="U345" s="359">
        <f t="shared" si="39"/>
        <v>0</v>
      </c>
      <c r="V345" s="365">
        <f t="shared" si="40"/>
        <v>0</v>
      </c>
      <c r="W345" s="366">
        <f t="shared" si="41"/>
        <v>0</v>
      </c>
      <c r="X345" s="362">
        <f t="shared" si="37"/>
        <v>0</v>
      </c>
      <c r="Y345" s="294">
        <f t="shared" ca="1" si="38"/>
        <v>46104</v>
      </c>
      <c r="Z345" s="375"/>
      <c r="AA345" s="249"/>
      <c r="AB345" s="391">
        <f t="shared" ref="AB345:AB408" ca="1" si="42">AA345-Y345</f>
        <v>-46104</v>
      </c>
    </row>
    <row r="346" spans="1:28" ht="108" hidden="1" customHeight="1" x14ac:dyDescent="1.95">
      <c r="A346" s="23">
        <f>'MODIFICAR CODIGOS '!A346</f>
        <v>0</v>
      </c>
      <c r="B346" s="270">
        <f>'MODIFICAR CODIGOS '!B346</f>
        <v>0</v>
      </c>
      <c r="C346" s="284">
        <f>'MODIFICAR CODIGOS '!C346</f>
        <v>0</v>
      </c>
      <c r="D346" s="23">
        <f>'MODIFICAR CODIGOS '!D346</f>
        <v>0</v>
      </c>
      <c r="E346" s="23">
        <f>'MODIFICAR CODIGOS '!E346</f>
        <v>1</v>
      </c>
      <c r="F346" s="220"/>
      <c r="G346" s="147"/>
      <c r="H346" s="147"/>
      <c r="I346" s="147"/>
      <c r="J346" s="147"/>
      <c r="K346" s="219"/>
      <c r="L346" s="220"/>
      <c r="M346" s="147"/>
      <c r="N346" s="147"/>
      <c r="O346" s="219"/>
      <c r="P346" s="143"/>
      <c r="Q346" s="147"/>
      <c r="R346" s="141"/>
      <c r="S346" s="220"/>
      <c r="T346" s="219"/>
      <c r="U346" s="359">
        <f t="shared" si="39"/>
        <v>0</v>
      </c>
      <c r="V346" s="365">
        <f t="shared" si="40"/>
        <v>0</v>
      </c>
      <c r="W346" s="366">
        <f t="shared" si="41"/>
        <v>0</v>
      </c>
      <c r="X346" s="362">
        <f t="shared" si="37"/>
        <v>0</v>
      </c>
      <c r="Y346" s="294">
        <f t="shared" ca="1" si="38"/>
        <v>46104</v>
      </c>
      <c r="Z346" s="375"/>
      <c r="AA346" s="249"/>
      <c r="AB346" s="391">
        <f t="shared" ca="1" si="42"/>
        <v>-46104</v>
      </c>
    </row>
    <row r="347" spans="1:28" ht="108" hidden="1" customHeight="1" x14ac:dyDescent="1.95">
      <c r="A347" s="23">
        <f>'MODIFICAR CODIGOS '!A347</f>
        <v>0</v>
      </c>
      <c r="B347" s="271">
        <f>'MODIFICAR CODIGOS '!B347</f>
        <v>0</v>
      </c>
      <c r="C347" s="284">
        <f>'MODIFICAR CODIGOS '!C347</f>
        <v>0</v>
      </c>
      <c r="D347" s="23">
        <f>'MODIFICAR CODIGOS '!D347</f>
        <v>0</v>
      </c>
      <c r="E347" s="23">
        <f>'MODIFICAR CODIGOS '!E347</f>
        <v>1</v>
      </c>
      <c r="F347" s="220"/>
      <c r="G347" s="147"/>
      <c r="H347" s="147"/>
      <c r="I347" s="147"/>
      <c r="J347" s="147"/>
      <c r="K347" s="219"/>
      <c r="L347" s="220"/>
      <c r="M347" s="147"/>
      <c r="N347" s="147"/>
      <c r="O347" s="219"/>
      <c r="P347" s="143"/>
      <c r="Q347" s="147"/>
      <c r="R347" s="141"/>
      <c r="S347" s="220"/>
      <c r="T347" s="219"/>
      <c r="U347" s="359">
        <f t="shared" si="39"/>
        <v>0</v>
      </c>
      <c r="V347" s="365">
        <f t="shared" si="40"/>
        <v>0</v>
      </c>
      <c r="W347" s="366">
        <f t="shared" si="41"/>
        <v>0</v>
      </c>
      <c r="X347" s="362">
        <f t="shared" si="37"/>
        <v>0</v>
      </c>
      <c r="Y347" s="294">
        <f t="shared" ca="1" si="38"/>
        <v>46104</v>
      </c>
      <c r="Z347" s="375"/>
      <c r="AA347" s="249"/>
      <c r="AB347" s="391">
        <f t="shared" ca="1" si="42"/>
        <v>-46104</v>
      </c>
    </row>
    <row r="348" spans="1:28" ht="108" hidden="1" customHeight="1" x14ac:dyDescent="1.95">
      <c r="A348" s="23">
        <f>'MODIFICAR CODIGOS '!A348</f>
        <v>0</v>
      </c>
      <c r="B348" s="271">
        <f>'MODIFICAR CODIGOS '!B348</f>
        <v>0</v>
      </c>
      <c r="C348" s="284">
        <f>'MODIFICAR CODIGOS '!C348</f>
        <v>0</v>
      </c>
      <c r="D348" s="23">
        <f>'MODIFICAR CODIGOS '!D348</f>
        <v>0</v>
      </c>
      <c r="E348" s="23">
        <f>'MODIFICAR CODIGOS '!E348</f>
        <v>1</v>
      </c>
      <c r="F348" s="220"/>
      <c r="G348" s="147"/>
      <c r="H348" s="147"/>
      <c r="I348" s="147"/>
      <c r="J348" s="147"/>
      <c r="K348" s="219"/>
      <c r="L348" s="220"/>
      <c r="M348" s="147"/>
      <c r="N348" s="147"/>
      <c r="O348" s="219"/>
      <c r="P348" s="143"/>
      <c r="Q348" s="147"/>
      <c r="R348" s="141"/>
      <c r="S348" s="220"/>
      <c r="T348" s="219"/>
      <c r="U348" s="359">
        <f t="shared" si="39"/>
        <v>0</v>
      </c>
      <c r="V348" s="365">
        <f t="shared" si="40"/>
        <v>0</v>
      </c>
      <c r="W348" s="366">
        <f t="shared" si="41"/>
        <v>0</v>
      </c>
      <c r="X348" s="362">
        <f t="shared" si="37"/>
        <v>0</v>
      </c>
      <c r="Y348" s="294">
        <f t="shared" ca="1" si="38"/>
        <v>46104</v>
      </c>
      <c r="Z348" s="375"/>
      <c r="AA348" s="249"/>
      <c r="AB348" s="391">
        <f t="shared" ca="1" si="42"/>
        <v>-46104</v>
      </c>
    </row>
    <row r="349" spans="1:28" ht="108" hidden="1" customHeight="1" x14ac:dyDescent="1.95">
      <c r="A349" s="23">
        <f>'MODIFICAR CODIGOS '!A349</f>
        <v>0</v>
      </c>
      <c r="B349" s="271">
        <f>'MODIFICAR CODIGOS '!B349</f>
        <v>0</v>
      </c>
      <c r="C349" s="284">
        <f>'MODIFICAR CODIGOS '!C349</f>
        <v>0</v>
      </c>
      <c r="D349" s="23">
        <f>'MODIFICAR CODIGOS '!D349</f>
        <v>0</v>
      </c>
      <c r="E349" s="23">
        <f>'MODIFICAR CODIGOS '!E349</f>
        <v>1</v>
      </c>
      <c r="F349" s="220"/>
      <c r="G349" s="147"/>
      <c r="H349" s="147"/>
      <c r="I349" s="147"/>
      <c r="J349" s="147"/>
      <c r="K349" s="219"/>
      <c r="L349" s="220"/>
      <c r="M349" s="147"/>
      <c r="N349" s="147"/>
      <c r="O349" s="219"/>
      <c r="P349" s="143"/>
      <c r="Q349" s="147"/>
      <c r="R349" s="141"/>
      <c r="S349" s="220"/>
      <c r="T349" s="219"/>
      <c r="U349" s="359">
        <f t="shared" si="39"/>
        <v>0</v>
      </c>
      <c r="V349" s="365">
        <f t="shared" si="40"/>
        <v>0</v>
      </c>
      <c r="W349" s="366">
        <f t="shared" si="41"/>
        <v>0</v>
      </c>
      <c r="X349" s="362">
        <f t="shared" si="37"/>
        <v>0</v>
      </c>
      <c r="Y349" s="294">
        <f t="shared" ca="1" si="38"/>
        <v>46104</v>
      </c>
      <c r="Z349" s="375"/>
      <c r="AA349" s="249"/>
      <c r="AB349" s="391">
        <f t="shared" ca="1" si="42"/>
        <v>-46104</v>
      </c>
    </row>
    <row r="350" spans="1:28" ht="108" hidden="1" customHeight="1" x14ac:dyDescent="1.95">
      <c r="A350" s="23">
        <f>'MODIFICAR CODIGOS '!A350</f>
        <v>0</v>
      </c>
      <c r="B350" s="270">
        <f>'MODIFICAR CODIGOS '!B350</f>
        <v>0</v>
      </c>
      <c r="C350" s="284">
        <f>'MODIFICAR CODIGOS '!C350</f>
        <v>0</v>
      </c>
      <c r="D350" s="23">
        <f>'MODIFICAR CODIGOS '!D350</f>
        <v>0</v>
      </c>
      <c r="E350" s="23">
        <f>'MODIFICAR CODIGOS '!E350</f>
        <v>2</v>
      </c>
      <c r="F350" s="220"/>
      <c r="G350" s="147"/>
      <c r="H350" s="147"/>
      <c r="I350" s="147"/>
      <c r="J350" s="147"/>
      <c r="K350" s="219"/>
      <c r="L350" s="220"/>
      <c r="M350" s="147"/>
      <c r="N350" s="147"/>
      <c r="O350" s="219"/>
      <c r="P350" s="143"/>
      <c r="Q350" s="147"/>
      <c r="R350" s="141"/>
      <c r="S350" s="220"/>
      <c r="T350" s="219"/>
      <c r="U350" s="359">
        <f t="shared" si="39"/>
        <v>0</v>
      </c>
      <c r="V350" s="365">
        <f t="shared" si="40"/>
        <v>0</v>
      </c>
      <c r="W350" s="366">
        <f t="shared" si="41"/>
        <v>0</v>
      </c>
      <c r="X350" s="362">
        <f t="shared" si="37"/>
        <v>0</v>
      </c>
      <c r="Y350" s="294">
        <f t="shared" ca="1" si="38"/>
        <v>46104</v>
      </c>
      <c r="Z350" s="375"/>
      <c r="AA350" s="249"/>
      <c r="AB350" s="391">
        <f t="shared" ca="1" si="42"/>
        <v>-46104</v>
      </c>
    </row>
    <row r="351" spans="1:28" ht="108" hidden="1" customHeight="1" x14ac:dyDescent="1.95">
      <c r="A351" s="23">
        <f>'MODIFICAR CODIGOS '!A351</f>
        <v>0</v>
      </c>
      <c r="B351" s="271">
        <f>'MODIFICAR CODIGOS '!B351</f>
        <v>0</v>
      </c>
      <c r="C351" s="284">
        <f>'MODIFICAR CODIGOS '!C351</f>
        <v>0</v>
      </c>
      <c r="D351" s="23">
        <f>'MODIFICAR CODIGOS '!D351</f>
        <v>0</v>
      </c>
      <c r="E351" s="23">
        <f>'MODIFICAR CODIGOS '!E351</f>
        <v>1</v>
      </c>
      <c r="F351" s="220"/>
      <c r="G351" s="147"/>
      <c r="H351" s="147"/>
      <c r="I351" s="147"/>
      <c r="J351" s="147"/>
      <c r="K351" s="219"/>
      <c r="L351" s="220"/>
      <c r="M351" s="147"/>
      <c r="N351" s="147"/>
      <c r="O351" s="219"/>
      <c r="P351" s="143"/>
      <c r="Q351" s="147"/>
      <c r="R351" s="141"/>
      <c r="S351" s="220"/>
      <c r="T351" s="219"/>
      <c r="U351" s="359">
        <f t="shared" si="39"/>
        <v>0</v>
      </c>
      <c r="V351" s="365">
        <f t="shared" si="40"/>
        <v>0</v>
      </c>
      <c r="W351" s="366">
        <f t="shared" si="41"/>
        <v>0</v>
      </c>
      <c r="X351" s="362">
        <f t="shared" si="37"/>
        <v>0</v>
      </c>
      <c r="Y351" s="294">
        <f t="shared" ca="1" si="38"/>
        <v>46104</v>
      </c>
      <c r="Z351" s="375"/>
      <c r="AA351" s="249"/>
      <c r="AB351" s="391">
        <f t="shared" ca="1" si="42"/>
        <v>-46104</v>
      </c>
    </row>
    <row r="352" spans="1:28" ht="108" hidden="1" customHeight="1" x14ac:dyDescent="1.95">
      <c r="A352" s="23">
        <f>'MODIFICAR CODIGOS '!A352</f>
        <v>0</v>
      </c>
      <c r="B352" s="271">
        <f>'MODIFICAR CODIGOS '!B352</f>
        <v>0</v>
      </c>
      <c r="C352" s="284">
        <f>'MODIFICAR CODIGOS '!C352</f>
        <v>0</v>
      </c>
      <c r="D352" s="23">
        <f>'MODIFICAR CODIGOS '!D352</f>
        <v>0</v>
      </c>
      <c r="E352" s="23">
        <f>'MODIFICAR CODIGOS '!E352</f>
        <v>1</v>
      </c>
      <c r="F352" s="220"/>
      <c r="G352" s="147"/>
      <c r="H352" s="147"/>
      <c r="I352" s="147"/>
      <c r="J352" s="147"/>
      <c r="K352" s="219"/>
      <c r="L352" s="220"/>
      <c r="M352" s="147"/>
      <c r="N352" s="147"/>
      <c r="O352" s="219"/>
      <c r="P352" s="143"/>
      <c r="Q352" s="147"/>
      <c r="R352" s="141"/>
      <c r="S352" s="220"/>
      <c r="T352" s="219"/>
      <c r="U352" s="359">
        <f t="shared" si="39"/>
        <v>0</v>
      </c>
      <c r="V352" s="365">
        <f t="shared" si="40"/>
        <v>0</v>
      </c>
      <c r="W352" s="366">
        <f t="shared" si="41"/>
        <v>0</v>
      </c>
      <c r="X352" s="362">
        <f t="shared" si="37"/>
        <v>0</v>
      </c>
      <c r="Y352" s="294">
        <f t="shared" ca="1" si="38"/>
        <v>46104</v>
      </c>
      <c r="Z352" s="375"/>
      <c r="AA352" s="249"/>
      <c r="AB352" s="391">
        <f t="shared" ca="1" si="42"/>
        <v>-46104</v>
      </c>
    </row>
    <row r="353" spans="1:28" ht="108" hidden="1" customHeight="1" x14ac:dyDescent="1.95">
      <c r="A353" s="23">
        <f>'MODIFICAR CODIGOS '!A353</f>
        <v>0</v>
      </c>
      <c r="B353" s="271">
        <f>'MODIFICAR CODIGOS '!B353</f>
        <v>0</v>
      </c>
      <c r="C353" s="284">
        <f>'MODIFICAR CODIGOS '!C353</f>
        <v>0</v>
      </c>
      <c r="D353" s="23">
        <f>'MODIFICAR CODIGOS '!D353</f>
        <v>0</v>
      </c>
      <c r="E353" s="23">
        <f>'MODIFICAR CODIGOS '!E353</f>
        <v>1</v>
      </c>
      <c r="F353" s="220"/>
      <c r="G353" s="147"/>
      <c r="H353" s="147"/>
      <c r="I353" s="147"/>
      <c r="J353" s="147"/>
      <c r="K353" s="219"/>
      <c r="L353" s="220"/>
      <c r="M353" s="147"/>
      <c r="N353" s="147"/>
      <c r="O353" s="219"/>
      <c r="P353" s="143"/>
      <c r="Q353" s="147"/>
      <c r="R353" s="141"/>
      <c r="S353" s="220"/>
      <c r="T353" s="219"/>
      <c r="U353" s="359">
        <f t="shared" si="39"/>
        <v>0</v>
      </c>
      <c r="V353" s="365">
        <f t="shared" si="40"/>
        <v>0</v>
      </c>
      <c r="W353" s="366">
        <f t="shared" si="41"/>
        <v>0</v>
      </c>
      <c r="X353" s="362">
        <f t="shared" si="37"/>
        <v>0</v>
      </c>
      <c r="Y353" s="294">
        <f t="shared" ca="1" si="38"/>
        <v>46104</v>
      </c>
      <c r="Z353" s="375"/>
      <c r="AA353" s="249"/>
      <c r="AB353" s="391">
        <f t="shared" ca="1" si="42"/>
        <v>-46104</v>
      </c>
    </row>
    <row r="354" spans="1:28" ht="108" hidden="1" customHeight="1" x14ac:dyDescent="1.95">
      <c r="A354" s="23">
        <f>'MODIFICAR CODIGOS '!A354</f>
        <v>0</v>
      </c>
      <c r="B354" s="271">
        <f>'MODIFICAR CODIGOS '!B354</f>
        <v>0</v>
      </c>
      <c r="C354" s="284">
        <f>'MODIFICAR CODIGOS '!C354</f>
        <v>0</v>
      </c>
      <c r="D354" s="23">
        <f>'MODIFICAR CODIGOS '!D354</f>
        <v>0</v>
      </c>
      <c r="E354" s="23">
        <f>'MODIFICAR CODIGOS '!E354</f>
        <v>1</v>
      </c>
      <c r="F354" s="220"/>
      <c r="G354" s="147"/>
      <c r="H354" s="147"/>
      <c r="I354" s="147"/>
      <c r="J354" s="147"/>
      <c r="K354" s="219"/>
      <c r="L354" s="220"/>
      <c r="M354" s="147"/>
      <c r="N354" s="147"/>
      <c r="O354" s="219"/>
      <c r="P354" s="143"/>
      <c r="Q354" s="147"/>
      <c r="R354" s="141"/>
      <c r="S354" s="220"/>
      <c r="T354" s="219"/>
      <c r="U354" s="359">
        <f t="shared" si="39"/>
        <v>0</v>
      </c>
      <c r="V354" s="365">
        <f t="shared" si="40"/>
        <v>0</v>
      </c>
      <c r="W354" s="366">
        <f t="shared" si="41"/>
        <v>0</v>
      </c>
      <c r="X354" s="362">
        <f t="shared" si="37"/>
        <v>0</v>
      </c>
      <c r="Y354" s="294">
        <f t="shared" ca="1" si="38"/>
        <v>46104</v>
      </c>
      <c r="Z354" s="375"/>
      <c r="AA354" s="249"/>
      <c r="AB354" s="391">
        <f t="shared" ca="1" si="42"/>
        <v>-46104</v>
      </c>
    </row>
    <row r="355" spans="1:28" ht="108" hidden="1" customHeight="1" x14ac:dyDescent="1.95">
      <c r="A355" s="23">
        <f>'MODIFICAR CODIGOS '!A355</f>
        <v>0</v>
      </c>
      <c r="B355" s="271">
        <f>'MODIFICAR CODIGOS '!B355</f>
        <v>0</v>
      </c>
      <c r="C355" s="284">
        <f>'MODIFICAR CODIGOS '!C355</f>
        <v>0</v>
      </c>
      <c r="D355" s="23">
        <f>'MODIFICAR CODIGOS '!D355</f>
        <v>0</v>
      </c>
      <c r="E355" s="23">
        <f>'MODIFICAR CODIGOS '!E355</f>
        <v>1</v>
      </c>
      <c r="F355" s="220"/>
      <c r="G355" s="147"/>
      <c r="H355" s="147"/>
      <c r="I355" s="147"/>
      <c r="J355" s="147"/>
      <c r="K355" s="219"/>
      <c r="L355" s="220"/>
      <c r="M355" s="147"/>
      <c r="N355" s="147"/>
      <c r="O355" s="219"/>
      <c r="P355" s="143"/>
      <c r="Q355" s="147"/>
      <c r="R355" s="141"/>
      <c r="S355" s="220"/>
      <c r="T355" s="219"/>
      <c r="U355" s="359">
        <f t="shared" si="39"/>
        <v>0</v>
      </c>
      <c r="V355" s="365">
        <f t="shared" si="40"/>
        <v>0</v>
      </c>
      <c r="W355" s="366">
        <f t="shared" si="41"/>
        <v>0</v>
      </c>
      <c r="X355" s="362">
        <f t="shared" si="37"/>
        <v>0</v>
      </c>
      <c r="Y355" s="294">
        <f t="shared" ca="1" si="38"/>
        <v>46104</v>
      </c>
      <c r="Z355" s="375"/>
      <c r="AA355" s="249"/>
      <c r="AB355" s="391">
        <f t="shared" ca="1" si="42"/>
        <v>-46104</v>
      </c>
    </row>
    <row r="356" spans="1:28" ht="108" hidden="1" customHeight="1" x14ac:dyDescent="1.95">
      <c r="A356" s="23">
        <f>'MODIFICAR CODIGOS '!A356</f>
        <v>0</v>
      </c>
      <c r="B356" s="270">
        <f>'MODIFICAR CODIGOS '!B356</f>
        <v>0</v>
      </c>
      <c r="C356" s="284">
        <f>'MODIFICAR CODIGOS '!C356</f>
        <v>0</v>
      </c>
      <c r="D356" s="23">
        <f>'MODIFICAR CODIGOS '!D356</f>
        <v>0</v>
      </c>
      <c r="E356" s="23">
        <f>'MODIFICAR CODIGOS '!E356</f>
        <v>1</v>
      </c>
      <c r="F356" s="220"/>
      <c r="G356" s="147"/>
      <c r="H356" s="147"/>
      <c r="I356" s="147"/>
      <c r="J356" s="147"/>
      <c r="K356" s="219"/>
      <c r="L356" s="220"/>
      <c r="M356" s="147"/>
      <c r="N356" s="147"/>
      <c r="O356" s="219"/>
      <c r="P356" s="143"/>
      <c r="Q356" s="147"/>
      <c r="R356" s="141"/>
      <c r="S356" s="220"/>
      <c r="T356" s="219"/>
      <c r="U356" s="359">
        <f t="shared" si="39"/>
        <v>0</v>
      </c>
      <c r="V356" s="365">
        <f t="shared" si="40"/>
        <v>0</v>
      </c>
      <c r="W356" s="366">
        <f t="shared" si="41"/>
        <v>0</v>
      </c>
      <c r="X356" s="362">
        <f t="shared" si="37"/>
        <v>0</v>
      </c>
      <c r="Y356" s="294">
        <f t="shared" ca="1" si="38"/>
        <v>46104</v>
      </c>
      <c r="Z356" s="375"/>
      <c r="AA356" s="249"/>
      <c r="AB356" s="391">
        <f t="shared" ca="1" si="42"/>
        <v>-46104</v>
      </c>
    </row>
    <row r="357" spans="1:28" ht="108" hidden="1" customHeight="1" x14ac:dyDescent="1.95">
      <c r="A357" s="23">
        <f>'MODIFICAR CODIGOS '!A357</f>
        <v>0</v>
      </c>
      <c r="B357" s="271">
        <f>'MODIFICAR CODIGOS '!B357</f>
        <v>0</v>
      </c>
      <c r="C357" s="284">
        <f>'MODIFICAR CODIGOS '!C357</f>
        <v>0</v>
      </c>
      <c r="D357" s="23">
        <f>'MODIFICAR CODIGOS '!D357</f>
        <v>0</v>
      </c>
      <c r="E357" s="23">
        <f>'MODIFICAR CODIGOS '!E357</f>
        <v>6</v>
      </c>
      <c r="F357" s="220"/>
      <c r="G357" s="147"/>
      <c r="H357" s="147"/>
      <c r="I357" s="147"/>
      <c r="J357" s="147"/>
      <c r="K357" s="219"/>
      <c r="L357" s="220"/>
      <c r="M357" s="147"/>
      <c r="N357" s="147"/>
      <c r="O357" s="219"/>
      <c r="P357" s="143"/>
      <c r="Q357" s="147"/>
      <c r="R357" s="141"/>
      <c r="S357" s="220"/>
      <c r="T357" s="219"/>
      <c r="U357" s="359">
        <f t="shared" si="39"/>
        <v>0</v>
      </c>
      <c r="V357" s="365">
        <f t="shared" si="40"/>
        <v>0</v>
      </c>
      <c r="W357" s="366">
        <f t="shared" si="41"/>
        <v>0</v>
      </c>
      <c r="X357" s="362">
        <f t="shared" si="37"/>
        <v>0</v>
      </c>
      <c r="Y357" s="294">
        <f t="shared" ca="1" si="38"/>
        <v>46104</v>
      </c>
      <c r="Z357" s="375"/>
      <c r="AA357" s="249"/>
      <c r="AB357" s="391">
        <f t="shared" ca="1" si="42"/>
        <v>-46104</v>
      </c>
    </row>
    <row r="358" spans="1:28" ht="108" hidden="1" customHeight="1" x14ac:dyDescent="1.95">
      <c r="A358" s="23">
        <f>'MODIFICAR CODIGOS '!A358</f>
        <v>0</v>
      </c>
      <c r="B358" s="271">
        <f>'MODIFICAR CODIGOS '!B358</f>
        <v>0</v>
      </c>
      <c r="C358" s="284">
        <f>'MODIFICAR CODIGOS '!C358</f>
        <v>0</v>
      </c>
      <c r="D358" s="23">
        <f>'MODIFICAR CODIGOS '!D358</f>
        <v>0</v>
      </c>
      <c r="E358" s="23">
        <f>'MODIFICAR CODIGOS '!E358</f>
        <v>1</v>
      </c>
      <c r="F358" s="220"/>
      <c r="G358" s="147"/>
      <c r="H358" s="147"/>
      <c r="I358" s="147"/>
      <c r="J358" s="147"/>
      <c r="K358" s="219"/>
      <c r="L358" s="220"/>
      <c r="M358" s="147"/>
      <c r="N358" s="147"/>
      <c r="O358" s="219"/>
      <c r="P358" s="143"/>
      <c r="Q358" s="147"/>
      <c r="R358" s="141"/>
      <c r="S358" s="220"/>
      <c r="T358" s="219"/>
      <c r="U358" s="359">
        <f t="shared" si="39"/>
        <v>0</v>
      </c>
      <c r="V358" s="365">
        <f t="shared" si="40"/>
        <v>0</v>
      </c>
      <c r="W358" s="366">
        <f t="shared" si="41"/>
        <v>0</v>
      </c>
      <c r="X358" s="362">
        <f t="shared" si="37"/>
        <v>0</v>
      </c>
      <c r="Y358" s="294">
        <f t="shared" ca="1" si="38"/>
        <v>46104</v>
      </c>
      <c r="Z358" s="375"/>
      <c r="AA358" s="249"/>
      <c r="AB358" s="391">
        <f t="shared" ca="1" si="42"/>
        <v>-46104</v>
      </c>
    </row>
    <row r="359" spans="1:28" ht="108" hidden="1" customHeight="1" x14ac:dyDescent="1.95">
      <c r="A359" s="23">
        <f>'MODIFICAR CODIGOS '!A359</f>
        <v>0</v>
      </c>
      <c r="B359" s="270">
        <f>'MODIFICAR CODIGOS '!B359</f>
        <v>0</v>
      </c>
      <c r="C359" s="284">
        <f>'MODIFICAR CODIGOS '!C359</f>
        <v>0</v>
      </c>
      <c r="D359" s="23">
        <f>'MODIFICAR CODIGOS '!D359</f>
        <v>0</v>
      </c>
      <c r="E359" s="23">
        <f>'MODIFICAR CODIGOS '!E359</f>
        <v>1</v>
      </c>
      <c r="F359" s="220"/>
      <c r="G359" s="147"/>
      <c r="H359" s="147"/>
      <c r="I359" s="147"/>
      <c r="J359" s="147"/>
      <c r="K359" s="219"/>
      <c r="L359" s="220"/>
      <c r="M359" s="147"/>
      <c r="N359" s="147"/>
      <c r="O359" s="219"/>
      <c r="P359" s="143"/>
      <c r="Q359" s="147"/>
      <c r="R359" s="141"/>
      <c r="S359" s="220"/>
      <c r="T359" s="219"/>
      <c r="U359" s="359">
        <f t="shared" si="39"/>
        <v>0</v>
      </c>
      <c r="V359" s="365">
        <f t="shared" si="40"/>
        <v>0</v>
      </c>
      <c r="W359" s="366">
        <f t="shared" si="41"/>
        <v>0</v>
      </c>
      <c r="X359" s="362">
        <f t="shared" si="37"/>
        <v>0</v>
      </c>
      <c r="Y359" s="294">
        <f t="shared" ca="1" si="38"/>
        <v>46104</v>
      </c>
      <c r="Z359" s="375"/>
      <c r="AA359" s="249"/>
      <c r="AB359" s="391">
        <f t="shared" ca="1" si="42"/>
        <v>-46104</v>
      </c>
    </row>
    <row r="360" spans="1:28" ht="108" hidden="1" customHeight="1" x14ac:dyDescent="1.95">
      <c r="A360" s="23">
        <f>'MODIFICAR CODIGOS '!A360</f>
        <v>0</v>
      </c>
      <c r="B360" s="270">
        <f>'MODIFICAR CODIGOS '!B360</f>
        <v>0</v>
      </c>
      <c r="C360" s="284">
        <f>'MODIFICAR CODIGOS '!C360</f>
        <v>0</v>
      </c>
      <c r="D360" s="23">
        <f>'MODIFICAR CODIGOS '!D360</f>
        <v>0</v>
      </c>
      <c r="E360" s="23">
        <f>'MODIFICAR CODIGOS '!E360</f>
        <v>6</v>
      </c>
      <c r="F360" s="220"/>
      <c r="G360" s="147"/>
      <c r="H360" s="147"/>
      <c r="I360" s="147"/>
      <c r="J360" s="147"/>
      <c r="K360" s="219"/>
      <c r="L360" s="220"/>
      <c r="M360" s="147"/>
      <c r="N360" s="147"/>
      <c r="O360" s="219"/>
      <c r="P360" s="143"/>
      <c r="Q360" s="147"/>
      <c r="R360" s="141"/>
      <c r="S360" s="220"/>
      <c r="T360" s="219"/>
      <c r="U360" s="359">
        <f t="shared" si="39"/>
        <v>0</v>
      </c>
      <c r="V360" s="365">
        <f t="shared" si="40"/>
        <v>0</v>
      </c>
      <c r="W360" s="366">
        <f t="shared" si="41"/>
        <v>0</v>
      </c>
      <c r="X360" s="362">
        <f t="shared" si="37"/>
        <v>0</v>
      </c>
      <c r="Y360" s="294">
        <f t="shared" ca="1" si="38"/>
        <v>46104</v>
      </c>
      <c r="Z360" s="375"/>
      <c r="AA360" s="249"/>
      <c r="AB360" s="391">
        <f t="shared" ca="1" si="42"/>
        <v>-46104</v>
      </c>
    </row>
    <row r="361" spans="1:28" ht="108" hidden="1" customHeight="1" x14ac:dyDescent="1.95">
      <c r="A361" s="23">
        <f>'MODIFICAR CODIGOS '!A361</f>
        <v>0</v>
      </c>
      <c r="B361" s="270">
        <f>'MODIFICAR CODIGOS '!B361</f>
        <v>0</v>
      </c>
      <c r="C361" s="284">
        <f>'MODIFICAR CODIGOS '!C361</f>
        <v>0</v>
      </c>
      <c r="D361" s="23">
        <f>'MODIFICAR CODIGOS '!D361</f>
        <v>0</v>
      </c>
      <c r="E361" s="23">
        <f>'MODIFICAR CODIGOS '!E361</f>
        <v>12</v>
      </c>
      <c r="F361" s="220"/>
      <c r="G361" s="147"/>
      <c r="H361" s="147"/>
      <c r="I361" s="147"/>
      <c r="J361" s="147"/>
      <c r="K361" s="219"/>
      <c r="L361" s="220"/>
      <c r="M361" s="147"/>
      <c r="N361" s="147"/>
      <c r="O361" s="219"/>
      <c r="P361" s="143"/>
      <c r="Q361" s="147"/>
      <c r="R361" s="141"/>
      <c r="S361" s="220"/>
      <c r="T361" s="219"/>
      <c r="U361" s="359">
        <f t="shared" si="39"/>
        <v>0</v>
      </c>
      <c r="V361" s="365">
        <f t="shared" si="40"/>
        <v>0</v>
      </c>
      <c r="W361" s="366">
        <f t="shared" si="41"/>
        <v>0</v>
      </c>
      <c r="X361" s="362">
        <f t="shared" si="37"/>
        <v>0</v>
      </c>
      <c r="Y361" s="294">
        <f t="shared" ca="1" si="38"/>
        <v>46104</v>
      </c>
      <c r="Z361" s="375"/>
      <c r="AA361" s="249"/>
      <c r="AB361" s="391">
        <f t="shared" ca="1" si="42"/>
        <v>-46104</v>
      </c>
    </row>
    <row r="362" spans="1:28" ht="108" hidden="1" customHeight="1" x14ac:dyDescent="1.95">
      <c r="A362" s="23" t="e">
        <f>'MODIFICAR CODIGOS '!#REF!</f>
        <v>#REF!</v>
      </c>
      <c r="B362" s="270" t="e">
        <f>'MODIFICAR CODIGOS '!#REF!</f>
        <v>#REF!</v>
      </c>
      <c r="C362" s="284">
        <f>'MODIFICAR CODIGOS '!C362</f>
        <v>0</v>
      </c>
      <c r="D362" s="23">
        <f>'MODIFICAR CODIGOS '!D362</f>
        <v>0</v>
      </c>
      <c r="E362" s="23">
        <f>'MODIFICAR CODIGOS '!E362</f>
        <v>1</v>
      </c>
      <c r="F362" s="220"/>
      <c r="G362" s="147"/>
      <c r="H362" s="147"/>
      <c r="I362" s="147"/>
      <c r="J362" s="147"/>
      <c r="K362" s="219"/>
      <c r="L362" s="220"/>
      <c r="M362" s="147"/>
      <c r="N362" s="147"/>
      <c r="O362" s="219"/>
      <c r="P362" s="143"/>
      <c r="Q362" s="147"/>
      <c r="R362" s="141"/>
      <c r="S362" s="220"/>
      <c r="T362" s="219"/>
      <c r="U362" s="359">
        <f t="shared" si="39"/>
        <v>0</v>
      </c>
      <c r="V362" s="365">
        <f t="shared" si="40"/>
        <v>0</v>
      </c>
      <c r="W362" s="366">
        <f t="shared" si="41"/>
        <v>0</v>
      </c>
      <c r="X362" s="362">
        <f t="shared" si="37"/>
        <v>0</v>
      </c>
      <c r="Y362" s="294">
        <f t="shared" ca="1" si="38"/>
        <v>46104</v>
      </c>
      <c r="Z362" s="375"/>
      <c r="AA362" s="249"/>
      <c r="AB362" s="391">
        <f t="shared" ca="1" si="42"/>
        <v>-46104</v>
      </c>
    </row>
    <row r="363" spans="1:28" ht="108" hidden="1" customHeight="1" x14ac:dyDescent="1.95">
      <c r="A363" s="23">
        <f>'MODIFICAR CODIGOS '!A362</f>
        <v>0</v>
      </c>
      <c r="B363" s="270">
        <f>'MODIFICAR CODIGOS '!B362</f>
        <v>0</v>
      </c>
      <c r="C363" s="284">
        <f>'MODIFICAR CODIGOS '!C363</f>
        <v>0</v>
      </c>
      <c r="D363" s="23">
        <f>'MODIFICAR CODIGOS '!D363</f>
        <v>0</v>
      </c>
      <c r="E363" s="23">
        <f>'MODIFICAR CODIGOS '!E363</f>
        <v>6</v>
      </c>
      <c r="F363" s="220"/>
      <c r="G363" s="147"/>
      <c r="H363" s="147"/>
      <c r="I363" s="147"/>
      <c r="J363" s="147"/>
      <c r="K363" s="219"/>
      <c r="L363" s="220"/>
      <c r="M363" s="147"/>
      <c r="N363" s="147"/>
      <c r="O363" s="219"/>
      <c r="P363" s="143"/>
      <c r="Q363" s="147"/>
      <c r="R363" s="141"/>
      <c r="S363" s="220"/>
      <c r="T363" s="219"/>
      <c r="U363" s="359">
        <f t="shared" si="39"/>
        <v>0</v>
      </c>
      <c r="V363" s="365">
        <f t="shared" si="40"/>
        <v>0</v>
      </c>
      <c r="W363" s="366">
        <f t="shared" si="41"/>
        <v>0</v>
      </c>
      <c r="X363" s="362">
        <f t="shared" si="37"/>
        <v>0</v>
      </c>
      <c r="Y363" s="294">
        <f t="shared" ca="1" si="38"/>
        <v>46104</v>
      </c>
      <c r="Z363" s="375"/>
      <c r="AA363" s="384"/>
      <c r="AB363" s="391">
        <f t="shared" ca="1" si="42"/>
        <v>-46104</v>
      </c>
    </row>
    <row r="364" spans="1:28" ht="108" customHeight="1" x14ac:dyDescent="1.95">
      <c r="A364" s="23" t="str">
        <f>'MODIFICAR CODIGOS '!A364</f>
        <v>*</v>
      </c>
      <c r="B364" s="271">
        <f>'MODIFICAR CODIGOS '!B364</f>
        <v>0</v>
      </c>
      <c r="C364" s="284">
        <f>'MODIFICAR CODIGOS '!C364</f>
        <v>0</v>
      </c>
      <c r="D364" s="23">
        <f>'MODIFICAR CODIGOS '!D364</f>
        <v>0</v>
      </c>
      <c r="E364" s="23">
        <f>'MODIFICAR CODIGOS '!E364</f>
        <v>1</v>
      </c>
      <c r="F364" s="220"/>
      <c r="G364" s="147"/>
      <c r="H364" s="147"/>
      <c r="I364" s="147"/>
      <c r="J364" s="147"/>
      <c r="K364" s="219"/>
      <c r="L364" s="220"/>
      <c r="M364" s="147"/>
      <c r="N364" s="147"/>
      <c r="O364" s="219"/>
      <c r="P364" s="143"/>
      <c r="Q364" s="147"/>
      <c r="R364" s="141"/>
      <c r="S364" s="220"/>
      <c r="T364" s="219"/>
      <c r="U364" s="359">
        <f t="shared" si="39"/>
        <v>0</v>
      </c>
      <c r="V364" s="365">
        <f t="shared" si="40"/>
        <v>0</v>
      </c>
      <c r="W364" s="366">
        <f t="shared" si="41"/>
        <v>0</v>
      </c>
      <c r="X364" s="362">
        <f t="shared" si="37"/>
        <v>0</v>
      </c>
      <c r="Y364" s="294">
        <f t="shared" ca="1" si="38"/>
        <v>46104</v>
      </c>
      <c r="Z364" s="375"/>
      <c r="AA364" s="249"/>
      <c r="AB364" s="391">
        <f t="shared" ca="1" si="42"/>
        <v>-46104</v>
      </c>
    </row>
    <row r="365" spans="1:28" ht="108" customHeight="1" x14ac:dyDescent="1.95">
      <c r="A365" s="23">
        <f>'MODIFICAR CODIGOS '!A365</f>
        <v>120193</v>
      </c>
      <c r="B365" s="270" t="str">
        <f>'MODIFICAR CODIGOS '!B365</f>
        <v>12PK(3MG+2MRA+2MFR+2PÑM+2DZ+1MZ)CAJ</v>
      </c>
      <c r="C365" s="284">
        <f>'MODIFICAR CODIGOS '!C365</f>
        <v>378</v>
      </c>
      <c r="D365" s="23">
        <f>'MODIFICAR CODIGOS '!D365</f>
        <v>42</v>
      </c>
      <c r="E365" s="23">
        <f>'MODIFICAR CODIGOS '!E365</f>
        <v>12</v>
      </c>
      <c r="F365" s="220"/>
      <c r="G365" s="147"/>
      <c r="H365" s="147"/>
      <c r="I365" s="147"/>
      <c r="J365" s="147"/>
      <c r="K365" s="219"/>
      <c r="L365" s="220"/>
      <c r="M365" s="147"/>
      <c r="N365" s="147"/>
      <c r="O365" s="219"/>
      <c r="P365" s="143"/>
      <c r="Q365" s="147"/>
      <c r="R365" s="141"/>
      <c r="S365" s="220"/>
      <c r="T365" s="219"/>
      <c r="U365" s="359">
        <f t="shared" si="39"/>
        <v>0</v>
      </c>
      <c r="V365" s="365">
        <f t="shared" si="40"/>
        <v>0</v>
      </c>
      <c r="W365" s="366">
        <f t="shared" si="41"/>
        <v>0</v>
      </c>
      <c r="X365" s="362">
        <f t="shared" si="37"/>
        <v>0</v>
      </c>
      <c r="Y365" s="294">
        <f t="shared" ca="1" si="38"/>
        <v>46104</v>
      </c>
      <c r="Z365" s="375"/>
      <c r="AA365" s="384"/>
      <c r="AB365" s="391">
        <f t="shared" ca="1" si="42"/>
        <v>-46104</v>
      </c>
    </row>
    <row r="366" spans="1:28" ht="108" customHeight="1" x14ac:dyDescent="1.95">
      <c r="A366" s="23">
        <f>'MODIFICAR CODIGOS '!A366</f>
        <v>120194</v>
      </c>
      <c r="B366" s="270" t="str">
        <f>'MODIFICAR CODIGOS '!B366</f>
        <v>6PK(2MG+2MRA+1MFR+1PÑM)200MLTRP CAJ</v>
      </c>
      <c r="C366" s="284">
        <f>'MODIFICAR CODIGOS '!C366</f>
        <v>756</v>
      </c>
      <c r="D366" s="23">
        <f>'MODIFICAR CODIGOS '!D366</f>
        <v>84</v>
      </c>
      <c r="E366" s="23">
        <f>'MODIFICAR CODIGOS '!E366</f>
        <v>6</v>
      </c>
      <c r="F366" s="220"/>
      <c r="G366" s="147"/>
      <c r="H366" s="147"/>
      <c r="I366" s="147"/>
      <c r="J366" s="147"/>
      <c r="K366" s="219"/>
      <c r="L366" s="220"/>
      <c r="M366" s="147"/>
      <c r="N366" s="147"/>
      <c r="O366" s="219"/>
      <c r="P366" s="143"/>
      <c r="Q366" s="147"/>
      <c r="R366" s="141"/>
      <c r="S366" s="220"/>
      <c r="T366" s="219"/>
      <c r="U366" s="359">
        <f t="shared" si="39"/>
        <v>0</v>
      </c>
      <c r="V366" s="365">
        <f t="shared" si="40"/>
        <v>0</v>
      </c>
      <c r="W366" s="366">
        <f t="shared" si="41"/>
        <v>0</v>
      </c>
      <c r="X366" s="362">
        <f t="shared" si="37"/>
        <v>0</v>
      </c>
      <c r="Y366" s="294">
        <f t="shared" ca="1" si="38"/>
        <v>46104</v>
      </c>
      <c r="Z366" s="375"/>
      <c r="AA366" s="384"/>
      <c r="AB366" s="391">
        <f t="shared" ca="1" si="42"/>
        <v>-46104</v>
      </c>
    </row>
    <row r="367" spans="1:28" ht="108" hidden="1" customHeight="1" x14ac:dyDescent="1.95">
      <c r="A367" s="23">
        <f>'MODIFICAR CODIGOS '!A367</f>
        <v>0</v>
      </c>
      <c r="B367" s="270">
        <f>'MODIFICAR CODIGOS '!B367</f>
        <v>0</v>
      </c>
      <c r="C367" s="284">
        <f>'MODIFICAR CODIGOS '!C367</f>
        <v>0</v>
      </c>
      <c r="D367" s="23">
        <f>'MODIFICAR CODIGOS '!D367</f>
        <v>0</v>
      </c>
      <c r="E367" s="23">
        <f>'MODIFICAR CODIGOS '!E367</f>
        <v>12</v>
      </c>
      <c r="F367" s="220"/>
      <c r="G367" s="147"/>
      <c r="H367" s="147"/>
      <c r="I367" s="147"/>
      <c r="J367" s="147"/>
      <c r="K367" s="219"/>
      <c r="L367" s="220"/>
      <c r="M367" s="147"/>
      <c r="N367" s="147"/>
      <c r="O367" s="219"/>
      <c r="P367" s="143"/>
      <c r="Q367" s="147"/>
      <c r="R367" s="141"/>
      <c r="S367" s="220"/>
      <c r="T367" s="219"/>
      <c r="U367" s="359">
        <f t="shared" si="39"/>
        <v>0</v>
      </c>
      <c r="V367" s="365">
        <f t="shared" si="40"/>
        <v>0</v>
      </c>
      <c r="W367" s="366">
        <f t="shared" si="41"/>
        <v>0</v>
      </c>
      <c r="X367" s="362">
        <f t="shared" si="37"/>
        <v>0</v>
      </c>
      <c r="Y367" s="294">
        <f t="shared" ca="1" si="38"/>
        <v>46104</v>
      </c>
      <c r="Z367" s="375"/>
      <c r="AA367" s="384"/>
      <c r="AB367" s="391">
        <f t="shared" ca="1" si="42"/>
        <v>-46104</v>
      </c>
    </row>
    <row r="368" spans="1:28" ht="108" customHeight="1" x14ac:dyDescent="1.95">
      <c r="A368" s="23">
        <f>'MODIFICAR CODIGOS '!A368</f>
        <v>120202</v>
      </c>
      <c r="B368" s="271" t="str">
        <f>'MODIFICAR CODIGOS '!B368</f>
        <v>6PK (3CT+3MD) 188ML NVO TRP</v>
      </c>
      <c r="C368" s="284">
        <f>'MODIFICAR CODIGOS '!C368</f>
        <v>756</v>
      </c>
      <c r="D368" s="23">
        <f>'MODIFICAR CODIGOS '!D368</f>
        <v>87</v>
      </c>
      <c r="E368" s="23">
        <f>'MODIFICAR CODIGOS '!E368</f>
        <v>6</v>
      </c>
      <c r="F368" s="220"/>
      <c r="G368" s="147"/>
      <c r="H368" s="147"/>
      <c r="I368" s="147"/>
      <c r="J368" s="147"/>
      <c r="K368" s="219"/>
      <c r="L368" s="220"/>
      <c r="M368" s="147">
        <v>11</v>
      </c>
      <c r="N368" s="147"/>
      <c r="O368" s="219"/>
      <c r="P368" s="143"/>
      <c r="Q368" s="147"/>
      <c r="R368" s="141"/>
      <c r="S368" s="220"/>
      <c r="T368" s="219"/>
      <c r="U368" s="359">
        <f t="shared" si="39"/>
        <v>957</v>
      </c>
      <c r="V368" s="365">
        <f t="shared" si="40"/>
        <v>957</v>
      </c>
      <c r="W368" s="366">
        <f t="shared" si="41"/>
        <v>0</v>
      </c>
      <c r="X368" s="362">
        <f t="shared" si="37"/>
        <v>957</v>
      </c>
      <c r="Y368" s="294">
        <f t="shared" ca="1" si="38"/>
        <v>46104</v>
      </c>
      <c r="Z368" s="375"/>
      <c r="AA368" s="384"/>
      <c r="AB368" s="391">
        <f t="shared" ca="1" si="42"/>
        <v>-46104</v>
      </c>
    </row>
    <row r="369" spans="1:28" ht="108" hidden="1" customHeight="1" x14ac:dyDescent="1.95">
      <c r="A369" s="23">
        <f>'MODIFICAR CODIGOS '!A369</f>
        <v>0</v>
      </c>
      <c r="B369" s="271">
        <f>'MODIFICAR CODIGOS '!B369</f>
        <v>0</v>
      </c>
      <c r="C369" s="284">
        <f>'MODIFICAR CODIGOS '!C369</f>
        <v>0</v>
      </c>
      <c r="D369" s="23">
        <f>'MODIFICAR CODIGOS '!D369</f>
        <v>0</v>
      </c>
      <c r="E369" s="23">
        <f>'MODIFICAR CODIGOS '!E369</f>
        <v>1</v>
      </c>
      <c r="F369" s="220"/>
      <c r="G369" s="147"/>
      <c r="H369" s="147"/>
      <c r="I369" s="147"/>
      <c r="J369" s="147"/>
      <c r="K369" s="219"/>
      <c r="L369" s="220"/>
      <c r="M369" s="147"/>
      <c r="N369" s="147"/>
      <c r="O369" s="219"/>
      <c r="P369" s="143"/>
      <c r="Q369" s="147"/>
      <c r="R369" s="141"/>
      <c r="S369" s="220"/>
      <c r="T369" s="219"/>
      <c r="U369" s="359">
        <f t="shared" si="39"/>
        <v>0</v>
      </c>
      <c r="V369" s="365">
        <f t="shared" si="40"/>
        <v>0</v>
      </c>
      <c r="W369" s="366">
        <f t="shared" si="41"/>
        <v>0</v>
      </c>
      <c r="X369" s="362">
        <f t="shared" si="37"/>
        <v>0</v>
      </c>
      <c r="Y369" s="294">
        <f t="shared" ca="1" si="38"/>
        <v>46104</v>
      </c>
      <c r="Z369" s="375"/>
      <c r="AA369" s="249"/>
      <c r="AB369" s="391">
        <f t="shared" ca="1" si="42"/>
        <v>-46104</v>
      </c>
    </row>
    <row r="370" spans="1:28" ht="107.4" hidden="1" x14ac:dyDescent="1.95">
      <c r="A370" s="23">
        <f>'MODIFICAR CODIGOS '!A370</f>
        <v>0</v>
      </c>
      <c r="B370" s="271">
        <f>'MODIFICAR CODIGOS '!B370</f>
        <v>0</v>
      </c>
      <c r="C370" s="284">
        <f>'MODIFICAR CODIGOS '!C370</f>
        <v>0</v>
      </c>
      <c r="D370" s="23">
        <f>'MODIFICAR CODIGOS '!D370</f>
        <v>0</v>
      </c>
      <c r="E370" s="23">
        <f>'MODIFICAR CODIGOS '!E370</f>
        <v>1</v>
      </c>
      <c r="F370" s="220"/>
      <c r="G370" s="147"/>
      <c r="H370" s="147"/>
      <c r="I370" s="147"/>
      <c r="J370" s="147"/>
      <c r="K370" s="219"/>
      <c r="L370" s="220"/>
      <c r="M370" s="147"/>
      <c r="N370" s="147"/>
      <c r="O370" s="219"/>
      <c r="P370" s="143"/>
      <c r="Q370" s="147"/>
      <c r="R370" s="141"/>
      <c r="S370" s="220"/>
      <c r="T370" s="219"/>
      <c r="U370" s="359">
        <f t="shared" si="39"/>
        <v>0</v>
      </c>
      <c r="V370" s="365">
        <f t="shared" si="40"/>
        <v>0</v>
      </c>
      <c r="W370" s="366">
        <f t="shared" si="41"/>
        <v>0</v>
      </c>
      <c r="X370" s="362">
        <f t="shared" si="37"/>
        <v>0</v>
      </c>
      <c r="Y370" s="294">
        <f t="shared" ca="1" si="38"/>
        <v>46104</v>
      </c>
      <c r="Z370" s="375"/>
      <c r="AA370" s="249"/>
      <c r="AB370" s="391">
        <f t="shared" ca="1" si="42"/>
        <v>-46104</v>
      </c>
    </row>
    <row r="371" spans="1:28" ht="107.4" hidden="1" x14ac:dyDescent="1.95">
      <c r="A371" s="23">
        <f>'MODIFICAR CODIGOS '!A371</f>
        <v>0</v>
      </c>
      <c r="B371" s="271">
        <f>'MODIFICAR CODIGOS '!B371</f>
        <v>0</v>
      </c>
      <c r="C371" s="284">
        <f>'MODIFICAR CODIGOS '!C371</f>
        <v>0</v>
      </c>
      <c r="D371" s="23">
        <f>'MODIFICAR CODIGOS '!D371</f>
        <v>0</v>
      </c>
      <c r="E371" s="23">
        <f>'MODIFICAR CODIGOS '!E371</f>
        <v>1</v>
      </c>
      <c r="F371" s="220"/>
      <c r="G371" s="147"/>
      <c r="H371" s="147"/>
      <c r="I371" s="147"/>
      <c r="J371" s="147"/>
      <c r="K371" s="219"/>
      <c r="L371" s="220"/>
      <c r="M371" s="147"/>
      <c r="N371" s="147"/>
      <c r="O371" s="219"/>
      <c r="P371" s="143"/>
      <c r="Q371" s="147"/>
      <c r="R371" s="141"/>
      <c r="S371" s="220"/>
      <c r="T371" s="219"/>
      <c r="U371" s="359">
        <f t="shared" si="39"/>
        <v>0</v>
      </c>
      <c r="V371" s="365">
        <f t="shared" si="40"/>
        <v>0</v>
      </c>
      <c r="W371" s="366">
        <f t="shared" si="41"/>
        <v>0</v>
      </c>
      <c r="X371" s="362">
        <f t="shared" si="37"/>
        <v>0</v>
      </c>
      <c r="Y371" s="294">
        <f t="shared" ca="1" si="38"/>
        <v>46104</v>
      </c>
      <c r="Z371" s="375"/>
      <c r="AA371" s="249"/>
      <c r="AB371" s="391">
        <f t="shared" ca="1" si="42"/>
        <v>-46104</v>
      </c>
    </row>
    <row r="372" spans="1:28" ht="107.4" hidden="1" x14ac:dyDescent="1.95">
      <c r="A372" s="23">
        <f>'MODIFICAR CODIGOS '!A372</f>
        <v>0</v>
      </c>
      <c r="B372" s="271">
        <f>'MODIFICAR CODIGOS '!B372</f>
        <v>0</v>
      </c>
      <c r="C372" s="284">
        <f>'MODIFICAR CODIGOS '!C372</f>
        <v>0</v>
      </c>
      <c r="D372" s="23">
        <f>'MODIFICAR CODIGOS '!D372</f>
        <v>0</v>
      </c>
      <c r="E372" s="23">
        <f>'MODIFICAR CODIGOS '!E372</f>
        <v>1</v>
      </c>
      <c r="F372" s="220"/>
      <c r="G372" s="147"/>
      <c r="H372" s="147"/>
      <c r="I372" s="147"/>
      <c r="J372" s="147"/>
      <c r="K372" s="219"/>
      <c r="L372" s="220"/>
      <c r="M372" s="147"/>
      <c r="N372" s="147"/>
      <c r="O372" s="219"/>
      <c r="P372" s="143"/>
      <c r="Q372" s="147"/>
      <c r="R372" s="141"/>
      <c r="S372" s="220"/>
      <c r="T372" s="219"/>
      <c r="U372" s="359">
        <f t="shared" si="39"/>
        <v>0</v>
      </c>
      <c r="V372" s="365">
        <f t="shared" si="40"/>
        <v>0</v>
      </c>
      <c r="W372" s="366">
        <f t="shared" si="41"/>
        <v>0</v>
      </c>
      <c r="X372" s="362">
        <f t="shared" si="37"/>
        <v>0</v>
      </c>
      <c r="Y372" s="294">
        <f t="shared" ca="1" si="38"/>
        <v>46104</v>
      </c>
      <c r="Z372" s="375"/>
      <c r="AA372" s="249"/>
      <c r="AB372" s="391">
        <f t="shared" ca="1" si="42"/>
        <v>-46104</v>
      </c>
    </row>
    <row r="373" spans="1:28" ht="107.4" hidden="1" x14ac:dyDescent="1.95">
      <c r="A373" s="23">
        <f>'MODIFICAR CODIGOS '!A373</f>
        <v>0</v>
      </c>
      <c r="B373" s="271">
        <f>'MODIFICAR CODIGOS '!B373</f>
        <v>0</v>
      </c>
      <c r="C373" s="284">
        <f>'MODIFICAR CODIGOS '!C373</f>
        <v>0</v>
      </c>
      <c r="D373" s="23">
        <f>'MODIFICAR CODIGOS '!D373</f>
        <v>0</v>
      </c>
      <c r="E373" s="23">
        <f>'MODIFICAR CODIGOS '!E373</f>
        <v>1</v>
      </c>
      <c r="F373" s="220"/>
      <c r="G373" s="147"/>
      <c r="H373" s="147"/>
      <c r="I373" s="147"/>
      <c r="J373" s="147"/>
      <c r="K373" s="219"/>
      <c r="L373" s="220"/>
      <c r="M373" s="147"/>
      <c r="N373" s="147"/>
      <c r="O373" s="219"/>
      <c r="P373" s="143"/>
      <c r="Q373" s="147"/>
      <c r="R373" s="141"/>
      <c r="S373" s="220"/>
      <c r="T373" s="219"/>
      <c r="U373" s="359">
        <f t="shared" si="39"/>
        <v>0</v>
      </c>
      <c r="V373" s="365">
        <f t="shared" si="40"/>
        <v>0</v>
      </c>
      <c r="W373" s="366">
        <f t="shared" si="41"/>
        <v>0</v>
      </c>
      <c r="X373" s="362">
        <f t="shared" si="37"/>
        <v>0</v>
      </c>
      <c r="Y373" s="294">
        <f t="shared" ca="1" si="38"/>
        <v>46104</v>
      </c>
      <c r="Z373" s="375"/>
      <c r="AA373" s="249"/>
      <c r="AB373" s="391">
        <f t="shared" ca="1" si="42"/>
        <v>-46104</v>
      </c>
    </row>
    <row r="374" spans="1:28" ht="107.4" x14ac:dyDescent="1.95">
      <c r="A374" s="23" t="str">
        <f>'MODIFICAR CODIGOS '!A374</f>
        <v>*</v>
      </c>
      <c r="B374" s="271">
        <f>'MODIFICAR CODIGOS '!B374</f>
        <v>0</v>
      </c>
      <c r="C374" s="284">
        <f>'MODIFICAR CODIGOS '!C374</f>
        <v>0</v>
      </c>
      <c r="D374" s="23">
        <f>'MODIFICAR CODIGOS '!D374</f>
        <v>0</v>
      </c>
      <c r="E374" s="23">
        <f>'MODIFICAR CODIGOS '!E374</f>
        <v>1</v>
      </c>
      <c r="F374" s="220"/>
      <c r="G374" s="147"/>
      <c r="H374" s="147"/>
      <c r="I374" s="147"/>
      <c r="J374" s="147"/>
      <c r="K374" s="219"/>
      <c r="L374" s="220"/>
      <c r="M374" s="147"/>
      <c r="N374" s="147"/>
      <c r="O374" s="219"/>
      <c r="P374" s="143"/>
      <c r="Q374" s="147"/>
      <c r="R374" s="141"/>
      <c r="S374" s="220"/>
      <c r="T374" s="219"/>
      <c r="U374" s="359">
        <f t="shared" si="39"/>
        <v>0</v>
      </c>
      <c r="V374" s="365">
        <f t="shared" si="40"/>
        <v>0</v>
      </c>
      <c r="W374" s="366">
        <f t="shared" si="41"/>
        <v>0</v>
      </c>
      <c r="X374" s="362">
        <f t="shared" si="37"/>
        <v>0</v>
      </c>
      <c r="Y374" s="294">
        <f t="shared" ca="1" si="38"/>
        <v>46104</v>
      </c>
      <c r="Z374" s="375"/>
      <c r="AA374" s="249"/>
      <c r="AB374" s="391">
        <f t="shared" ca="1" si="42"/>
        <v>-46104</v>
      </c>
    </row>
    <row r="375" spans="1:28" ht="108" customHeight="1" x14ac:dyDescent="1.95">
      <c r="A375" s="23">
        <f>'MODIFICAR CODIGOS '!A375</f>
        <v>120131</v>
      </c>
      <c r="B375" s="270" t="str">
        <f>'MODIFICAR CODIGOS '!B375</f>
        <v>DV FRUTAL MANGO 500 ML PET (6)</v>
      </c>
      <c r="C375" s="284">
        <f>'MODIFICAR CODIGOS '!C375</f>
        <v>424</v>
      </c>
      <c r="D375" s="23">
        <f>'MODIFICAR CODIGOS '!D375</f>
        <v>53</v>
      </c>
      <c r="E375" s="23">
        <f>'MODIFICAR CODIGOS '!E375</f>
        <v>6</v>
      </c>
      <c r="F375" s="220"/>
      <c r="G375" s="147"/>
      <c r="H375" s="147"/>
      <c r="I375" s="147"/>
      <c r="J375" s="147"/>
      <c r="K375" s="219"/>
      <c r="L375" s="220"/>
      <c r="M375" s="147"/>
      <c r="N375" s="147"/>
      <c r="O375" s="219"/>
      <c r="P375" s="143"/>
      <c r="Q375" s="147">
        <v>7</v>
      </c>
      <c r="R375" s="141"/>
      <c r="S375" s="220">
        <v>4</v>
      </c>
      <c r="T375" s="219"/>
      <c r="U375" s="359">
        <f t="shared" si="39"/>
        <v>7.04</v>
      </c>
      <c r="V375" s="365">
        <f t="shared" si="40"/>
        <v>7</v>
      </c>
      <c r="W375" s="366">
        <f t="shared" si="41"/>
        <v>4</v>
      </c>
      <c r="X375" s="362">
        <f t="shared" si="37"/>
        <v>7.666666666666667</v>
      </c>
      <c r="Y375" s="294">
        <f t="shared" ca="1" si="38"/>
        <v>46104</v>
      </c>
      <c r="Z375" s="375"/>
      <c r="AA375" s="384"/>
      <c r="AB375" s="391">
        <f t="shared" ca="1" si="42"/>
        <v>-46104</v>
      </c>
    </row>
    <row r="376" spans="1:28" ht="108" customHeight="1" x14ac:dyDescent="1.95">
      <c r="A376" s="23">
        <f>'MODIFICAR CODIGOS '!A376</f>
        <v>120129</v>
      </c>
      <c r="B376" s="270" t="str">
        <f>'MODIFICAR CODIGOS '!B376</f>
        <v>DV FRUTAL MORA 500 ML PET (6)</v>
      </c>
      <c r="C376" s="284">
        <f>'MODIFICAR CODIGOS '!C376</f>
        <v>424</v>
      </c>
      <c r="D376" s="23">
        <f>'MODIFICAR CODIGOS '!D376</f>
        <v>53</v>
      </c>
      <c r="E376" s="23">
        <f>'MODIFICAR CODIGOS '!E376</f>
        <v>6</v>
      </c>
      <c r="F376" s="220"/>
      <c r="G376" s="147"/>
      <c r="H376" s="147"/>
      <c r="I376" s="147"/>
      <c r="J376" s="147"/>
      <c r="K376" s="219"/>
      <c r="L376" s="220"/>
      <c r="M376" s="147"/>
      <c r="N376" s="147"/>
      <c r="O376" s="219"/>
      <c r="P376" s="143"/>
      <c r="Q376" s="147"/>
      <c r="R376" s="141">
        <v>46</v>
      </c>
      <c r="S376" s="220">
        <v>2</v>
      </c>
      <c r="T376" s="219"/>
      <c r="U376" s="359">
        <f t="shared" si="39"/>
        <v>46.02</v>
      </c>
      <c r="V376" s="365">
        <f t="shared" si="40"/>
        <v>46</v>
      </c>
      <c r="W376" s="366">
        <f t="shared" si="41"/>
        <v>2</v>
      </c>
      <c r="X376" s="362">
        <f t="shared" si="37"/>
        <v>46.333333333333336</v>
      </c>
      <c r="Y376" s="294">
        <f t="shared" ca="1" si="38"/>
        <v>46104</v>
      </c>
      <c r="Z376" s="375"/>
      <c r="AA376" s="384"/>
      <c r="AB376" s="391">
        <f t="shared" ca="1" si="42"/>
        <v>-46104</v>
      </c>
    </row>
    <row r="377" spans="1:28" ht="108" customHeight="1" x14ac:dyDescent="1.95">
      <c r="A377" s="23">
        <f>'MODIFICAR CODIGOS '!A377</f>
        <v>120132</v>
      </c>
      <c r="B377" s="270" t="str">
        <f>'MODIFICAR CODIGOS '!B377</f>
        <v>DV FRUTAL MANDARINA - PIÑA.</v>
      </c>
      <c r="C377" s="284">
        <f>'MODIFICAR CODIGOS '!C377</f>
        <v>424</v>
      </c>
      <c r="D377" s="23">
        <f>'MODIFICAR CODIGOS '!D377</f>
        <v>53</v>
      </c>
      <c r="E377" s="23">
        <f>'MODIFICAR CODIGOS '!E377</f>
        <v>6</v>
      </c>
      <c r="F377" s="220"/>
      <c r="G377" s="147"/>
      <c r="H377" s="147"/>
      <c r="I377" s="147"/>
      <c r="J377" s="147"/>
      <c r="K377" s="219"/>
      <c r="L377" s="220"/>
      <c r="M377" s="147"/>
      <c r="N377" s="147"/>
      <c r="O377" s="219"/>
      <c r="P377" s="143"/>
      <c r="Q377" s="147"/>
      <c r="R377" s="141"/>
      <c r="S377" s="220"/>
      <c r="T377" s="219"/>
      <c r="U377" s="359">
        <f t="shared" si="39"/>
        <v>0</v>
      </c>
      <c r="V377" s="365">
        <f t="shared" si="40"/>
        <v>0</v>
      </c>
      <c r="W377" s="366">
        <f t="shared" si="41"/>
        <v>0</v>
      </c>
      <c r="X377" s="362">
        <f t="shared" si="37"/>
        <v>0</v>
      </c>
      <c r="Y377" s="294">
        <f t="shared" ca="1" si="38"/>
        <v>46104</v>
      </c>
      <c r="Z377" s="375"/>
      <c r="AA377" s="384"/>
      <c r="AB377" s="391">
        <f t="shared" ca="1" si="42"/>
        <v>-46104</v>
      </c>
    </row>
    <row r="378" spans="1:28" ht="108" customHeight="1" x14ac:dyDescent="1.95">
      <c r="A378" s="23">
        <f>'MODIFICAR CODIGOS '!A378</f>
        <v>120128</v>
      </c>
      <c r="B378" s="270" t="str">
        <f>'MODIFICAR CODIGOS '!B378</f>
        <v>FRUTAL MANGOFRS 500 ML</v>
      </c>
      <c r="C378" s="284">
        <f>'MODIFICAR CODIGOS '!C378</f>
        <v>424</v>
      </c>
      <c r="D378" s="23">
        <f>'MODIFICAR CODIGOS '!D378</f>
        <v>53</v>
      </c>
      <c r="E378" s="23">
        <f>'MODIFICAR CODIGOS '!E378</f>
        <v>6</v>
      </c>
      <c r="F378" s="220"/>
      <c r="G378" s="147"/>
      <c r="H378" s="147"/>
      <c r="I378" s="147"/>
      <c r="J378" s="147"/>
      <c r="K378" s="219"/>
      <c r="L378" s="220"/>
      <c r="M378" s="147"/>
      <c r="N378" s="147"/>
      <c r="O378" s="219"/>
      <c r="P378" s="143"/>
      <c r="Q378" s="147"/>
      <c r="R378" s="141">
        <v>10</v>
      </c>
      <c r="S378" s="220"/>
      <c r="T378" s="219"/>
      <c r="U378" s="359">
        <f t="shared" si="39"/>
        <v>10</v>
      </c>
      <c r="V378" s="365">
        <f t="shared" si="40"/>
        <v>10</v>
      </c>
      <c r="W378" s="366">
        <f t="shared" si="41"/>
        <v>0</v>
      </c>
      <c r="X378" s="362">
        <f t="shared" si="37"/>
        <v>10</v>
      </c>
      <c r="Y378" s="294">
        <f t="shared" ca="1" si="38"/>
        <v>46104</v>
      </c>
      <c r="Z378" s="375"/>
      <c r="AA378" s="384"/>
      <c r="AB378" s="391">
        <f t="shared" ca="1" si="42"/>
        <v>-46104</v>
      </c>
    </row>
    <row r="379" spans="1:28" ht="107.4" x14ac:dyDescent="1.95">
      <c r="A379" s="23">
        <f>'MODIFICAR CODIGOS '!A379</f>
        <v>120130</v>
      </c>
      <c r="B379" s="270" t="str">
        <f>'MODIFICAR CODIGOS '!B379</f>
        <v>FRUTAL SALPICON 500 ML PET</v>
      </c>
      <c r="C379" s="284">
        <f>'MODIFICAR CODIGOS '!C379</f>
        <v>424</v>
      </c>
      <c r="D379" s="23">
        <f>'MODIFICAR CODIGOS '!D379</f>
        <v>53</v>
      </c>
      <c r="E379" s="23">
        <f>'MODIFICAR CODIGOS '!E379</f>
        <v>6</v>
      </c>
      <c r="F379" s="220"/>
      <c r="G379" s="147"/>
      <c r="H379" s="147"/>
      <c r="I379" s="147"/>
      <c r="J379" s="147"/>
      <c r="K379" s="219"/>
      <c r="L379" s="220"/>
      <c r="M379" s="147"/>
      <c r="N379" s="147"/>
      <c r="O379" s="219"/>
      <c r="P379" s="143"/>
      <c r="Q379" s="147"/>
      <c r="R379" s="141"/>
      <c r="S379" s="220">
        <v>1</v>
      </c>
      <c r="T379" s="219"/>
      <c r="U379" s="359">
        <f t="shared" si="39"/>
        <v>0.01</v>
      </c>
      <c r="V379" s="365">
        <f t="shared" si="40"/>
        <v>0</v>
      </c>
      <c r="W379" s="366">
        <f t="shared" si="41"/>
        <v>1</v>
      </c>
      <c r="X379" s="362">
        <f t="shared" ref="X379:X420" si="43">V379+W379/E379</f>
        <v>0.16666666666666666</v>
      </c>
      <c r="Y379" s="294">
        <f t="shared" ref="Y379:Y421" ca="1" si="44">TODAY()</f>
        <v>46104</v>
      </c>
      <c r="Z379" s="375"/>
      <c r="AA379" s="384"/>
      <c r="AB379" s="391">
        <f t="shared" ca="1" si="42"/>
        <v>-46104</v>
      </c>
    </row>
    <row r="380" spans="1:28" ht="107.4" x14ac:dyDescent="1.95">
      <c r="A380" s="23" t="str">
        <f>'MODIFICAR CODIGOS '!A380</f>
        <v>*</v>
      </c>
      <c r="B380" s="271">
        <f>'MODIFICAR CODIGOS '!B380</f>
        <v>0</v>
      </c>
      <c r="C380" s="284">
        <f>'MODIFICAR CODIGOS '!C380</f>
        <v>0</v>
      </c>
      <c r="D380" s="23">
        <f>'MODIFICAR CODIGOS '!D380</f>
        <v>0</v>
      </c>
      <c r="E380" s="23">
        <f>'MODIFICAR CODIGOS '!E380</f>
        <v>1</v>
      </c>
      <c r="F380" s="220"/>
      <c r="G380" s="147"/>
      <c r="H380" s="147"/>
      <c r="I380" s="147"/>
      <c r="J380" s="147"/>
      <c r="K380" s="219"/>
      <c r="L380" s="220"/>
      <c r="M380" s="147"/>
      <c r="N380" s="147"/>
      <c r="O380" s="219"/>
      <c r="P380" s="143"/>
      <c r="Q380" s="147"/>
      <c r="R380" s="141"/>
      <c r="S380" s="220"/>
      <c r="T380" s="219"/>
      <c r="U380" s="359">
        <f t="shared" ref="U380:U421" si="45">(F380*C380+G380*C380+H380*C380+I380*C380+J380*C380+K380*C380+L380*D380+M380*D380+N380*D380+O380*D380+P380*1+Q380*1+R380*1+(TRUNC((S380+T380)/E380)))+(((S380+T380)/E380-TRUNC((S380+T380)/E380))*E380)/100</f>
        <v>0</v>
      </c>
      <c r="V380" s="365">
        <f t="shared" si="40"/>
        <v>0</v>
      </c>
      <c r="W380" s="366">
        <f t="shared" si="41"/>
        <v>0</v>
      </c>
      <c r="X380" s="362">
        <f t="shared" si="43"/>
        <v>0</v>
      </c>
      <c r="Y380" s="294">
        <f t="shared" ca="1" si="44"/>
        <v>46104</v>
      </c>
      <c r="Z380" s="375"/>
      <c r="AA380" s="249"/>
      <c r="AB380" s="391">
        <f t="shared" ca="1" si="42"/>
        <v>-46104</v>
      </c>
    </row>
    <row r="381" spans="1:28" ht="107.4" hidden="1" x14ac:dyDescent="1.95">
      <c r="A381" s="23">
        <f>'MODIFICAR CODIGOS '!A381</f>
        <v>0</v>
      </c>
      <c r="B381" s="271">
        <f>'MODIFICAR CODIGOS '!B381</f>
        <v>0</v>
      </c>
      <c r="C381" s="284">
        <f>'MODIFICAR CODIGOS '!C381</f>
        <v>0</v>
      </c>
      <c r="D381" s="23">
        <f>'MODIFICAR CODIGOS '!D381</f>
        <v>0</v>
      </c>
      <c r="E381" s="23">
        <f>'MODIFICAR CODIGOS '!E381</f>
        <v>1</v>
      </c>
      <c r="F381" s="220"/>
      <c r="G381" s="147"/>
      <c r="H381" s="147"/>
      <c r="I381" s="147"/>
      <c r="J381" s="147"/>
      <c r="K381" s="219"/>
      <c r="L381" s="220"/>
      <c r="M381" s="147"/>
      <c r="N381" s="147"/>
      <c r="O381" s="219"/>
      <c r="P381" s="143"/>
      <c r="Q381" s="147"/>
      <c r="R381" s="141"/>
      <c r="S381" s="220"/>
      <c r="T381" s="219"/>
      <c r="U381" s="359">
        <f t="shared" si="45"/>
        <v>0</v>
      </c>
      <c r="V381" s="365">
        <f t="shared" si="40"/>
        <v>0</v>
      </c>
      <c r="W381" s="366">
        <f t="shared" si="41"/>
        <v>0</v>
      </c>
      <c r="X381" s="362">
        <f t="shared" si="43"/>
        <v>0</v>
      </c>
      <c r="Y381" s="294">
        <f t="shared" ca="1" si="44"/>
        <v>46104</v>
      </c>
      <c r="Z381" s="375"/>
      <c r="AA381" s="249"/>
      <c r="AB381" s="391">
        <f t="shared" ca="1" si="42"/>
        <v>-46104</v>
      </c>
    </row>
    <row r="382" spans="1:28" ht="107.4" x14ac:dyDescent="1.95">
      <c r="A382" s="23">
        <f>'MODIFICAR CODIGOS '!A382</f>
        <v>136399</v>
      </c>
      <c r="B382" s="271" t="str">
        <f>'MODIFICAR CODIGOS '!B382</f>
        <v>COCA COLA ORIGINAL 269ML LAT(12)</v>
      </c>
      <c r="C382" s="284">
        <f>'MODIFICAR CODIGOS '!C382</f>
        <v>0</v>
      </c>
      <c r="D382" s="23">
        <f>'MODIFICAR CODIGOS '!D382</f>
        <v>26</v>
      </c>
      <c r="E382" s="23">
        <f>'MODIFICAR CODIGOS '!E382</f>
        <v>12</v>
      </c>
      <c r="F382" s="220"/>
      <c r="G382" s="147"/>
      <c r="H382" s="147"/>
      <c r="I382" s="147"/>
      <c r="J382" s="147"/>
      <c r="K382" s="219"/>
      <c r="L382" s="220"/>
      <c r="M382" s="147"/>
      <c r="N382" s="147"/>
      <c r="O382" s="219"/>
      <c r="P382" s="143"/>
      <c r="Q382" s="147"/>
      <c r="R382" s="141">
        <v>10</v>
      </c>
      <c r="S382" s="220">
        <v>9</v>
      </c>
      <c r="T382" s="219"/>
      <c r="U382" s="359">
        <f t="shared" si="45"/>
        <v>10.09</v>
      </c>
      <c r="V382" s="365">
        <f t="shared" si="40"/>
        <v>10</v>
      </c>
      <c r="W382" s="366">
        <f t="shared" si="41"/>
        <v>9</v>
      </c>
      <c r="X382" s="362">
        <f t="shared" si="43"/>
        <v>10.75</v>
      </c>
      <c r="Y382" s="294">
        <f t="shared" ca="1" si="44"/>
        <v>46104</v>
      </c>
      <c r="Z382" s="375"/>
      <c r="AA382" s="384"/>
      <c r="AB382" s="391">
        <f t="shared" ca="1" si="42"/>
        <v>-46104</v>
      </c>
    </row>
    <row r="383" spans="1:28" ht="108" customHeight="1" x14ac:dyDescent="1.95">
      <c r="A383" s="23">
        <f>'MODIFICAR CODIGOS '!A383</f>
        <v>135767</v>
      </c>
      <c r="B383" s="270" t="str">
        <f>'MODIFICAR CODIGOS '!B383</f>
        <v>COCA COLA SIN AZUCAR 330 ML LATA ADV</v>
      </c>
      <c r="C383" s="284">
        <f>'MODIFICAR CODIGOS '!C383</f>
        <v>308</v>
      </c>
      <c r="D383" s="23">
        <f>'MODIFICAR CODIGOS '!D383</f>
        <v>22</v>
      </c>
      <c r="E383" s="23">
        <f>'MODIFICAR CODIGOS '!E383</f>
        <v>12</v>
      </c>
      <c r="F383" s="220"/>
      <c r="G383" s="147"/>
      <c r="H383" s="147"/>
      <c r="I383" s="147"/>
      <c r="J383" s="147"/>
      <c r="K383" s="219"/>
      <c r="L383" s="220"/>
      <c r="M383" s="147"/>
      <c r="N383" s="147"/>
      <c r="O383" s="219"/>
      <c r="P383" s="143"/>
      <c r="Q383" s="147">
        <v>1</v>
      </c>
      <c r="R383" s="141"/>
      <c r="S383" s="220">
        <v>9</v>
      </c>
      <c r="T383" s="219"/>
      <c r="U383" s="359">
        <f t="shared" si="45"/>
        <v>1.0900000000000001</v>
      </c>
      <c r="V383" s="365">
        <f t="shared" si="40"/>
        <v>1</v>
      </c>
      <c r="W383" s="366">
        <f t="shared" si="41"/>
        <v>9</v>
      </c>
      <c r="X383" s="362">
        <f t="shared" si="43"/>
        <v>1.75</v>
      </c>
      <c r="Y383" s="294">
        <f t="shared" ca="1" si="44"/>
        <v>46104</v>
      </c>
      <c r="Z383" s="375"/>
      <c r="AA383" s="384"/>
      <c r="AB383" s="391">
        <f t="shared" ca="1" si="42"/>
        <v>-46104</v>
      </c>
    </row>
    <row r="384" spans="1:28" ht="108" hidden="1" customHeight="1" x14ac:dyDescent="1.95">
      <c r="A384" s="23">
        <f>'MODIFICAR CODIGOS '!A384</f>
        <v>0</v>
      </c>
      <c r="B384" s="271">
        <f>'MODIFICAR CODIGOS '!B384</f>
        <v>0</v>
      </c>
      <c r="C384" s="284">
        <f>'MODIFICAR CODIGOS '!C384</f>
        <v>0</v>
      </c>
      <c r="D384" s="23">
        <f>'MODIFICAR CODIGOS '!D384</f>
        <v>0</v>
      </c>
      <c r="E384" s="23">
        <f>'MODIFICAR CODIGOS '!E384</f>
        <v>1</v>
      </c>
      <c r="F384" s="220"/>
      <c r="G384" s="147"/>
      <c r="H384" s="147"/>
      <c r="I384" s="147"/>
      <c r="J384" s="147"/>
      <c r="K384" s="219"/>
      <c r="L384" s="220"/>
      <c r="M384" s="147"/>
      <c r="N384" s="147"/>
      <c r="O384" s="219"/>
      <c r="P384" s="143"/>
      <c r="Q384" s="147"/>
      <c r="R384" s="141"/>
      <c r="S384" s="220"/>
      <c r="T384" s="219"/>
      <c r="U384" s="359">
        <f t="shared" si="45"/>
        <v>0</v>
      </c>
      <c r="V384" s="365">
        <f t="shared" si="40"/>
        <v>0</v>
      </c>
      <c r="W384" s="366">
        <f t="shared" si="41"/>
        <v>0</v>
      </c>
      <c r="X384" s="362">
        <f t="shared" si="43"/>
        <v>0</v>
      </c>
      <c r="Y384" s="294">
        <f t="shared" ca="1" si="44"/>
        <v>46104</v>
      </c>
      <c r="Z384" s="375"/>
      <c r="AA384" s="249"/>
      <c r="AB384" s="391">
        <f t="shared" ca="1" si="42"/>
        <v>-46104</v>
      </c>
    </row>
    <row r="385" spans="1:28" ht="108" hidden="1" customHeight="1" x14ac:dyDescent="1.95">
      <c r="A385" s="23">
        <f>'MODIFICAR CODIGOS '!A385</f>
        <v>0</v>
      </c>
      <c r="B385" s="271">
        <f>'MODIFICAR CODIGOS '!B385</f>
        <v>0</v>
      </c>
      <c r="C385" s="284">
        <f>'MODIFICAR CODIGOS '!C385</f>
        <v>0</v>
      </c>
      <c r="D385" s="23">
        <f>'MODIFICAR CODIGOS '!D385</f>
        <v>0</v>
      </c>
      <c r="E385" s="23">
        <f>'MODIFICAR CODIGOS '!E385</f>
        <v>1</v>
      </c>
      <c r="F385" s="220"/>
      <c r="G385" s="147"/>
      <c r="H385" s="147"/>
      <c r="I385" s="147"/>
      <c r="J385" s="147"/>
      <c r="K385" s="219"/>
      <c r="L385" s="220"/>
      <c r="M385" s="147"/>
      <c r="N385" s="147"/>
      <c r="O385" s="219"/>
      <c r="P385" s="143"/>
      <c r="Q385" s="147"/>
      <c r="R385" s="141"/>
      <c r="S385" s="220"/>
      <c r="T385" s="219"/>
      <c r="U385" s="359">
        <f t="shared" si="45"/>
        <v>0</v>
      </c>
      <c r="V385" s="365">
        <f t="shared" si="40"/>
        <v>0</v>
      </c>
      <c r="W385" s="366">
        <f t="shared" si="41"/>
        <v>0</v>
      </c>
      <c r="X385" s="362">
        <f t="shared" si="43"/>
        <v>0</v>
      </c>
      <c r="Y385" s="294">
        <f t="shared" ca="1" si="44"/>
        <v>46104</v>
      </c>
      <c r="Z385" s="375"/>
      <c r="AA385" s="249"/>
      <c r="AB385" s="391">
        <f t="shared" ca="1" si="42"/>
        <v>-46104</v>
      </c>
    </row>
    <row r="386" spans="1:28" ht="108" hidden="1" customHeight="1" x14ac:dyDescent="1.95">
      <c r="A386" s="23">
        <f>'MODIFICAR CODIGOS '!A386</f>
        <v>0</v>
      </c>
      <c r="B386" s="270">
        <f>'MODIFICAR CODIGOS '!B386</f>
        <v>0</v>
      </c>
      <c r="C386" s="284">
        <f>'MODIFICAR CODIGOS '!C386</f>
        <v>0</v>
      </c>
      <c r="D386" s="23">
        <f>'MODIFICAR CODIGOS '!D386</f>
        <v>26</v>
      </c>
      <c r="E386" s="23">
        <f>'MODIFICAR CODIGOS '!E386</f>
        <v>12</v>
      </c>
      <c r="F386" s="220"/>
      <c r="G386" s="147"/>
      <c r="H386" s="147"/>
      <c r="I386" s="147"/>
      <c r="J386" s="147"/>
      <c r="K386" s="219"/>
      <c r="L386" s="220"/>
      <c r="M386" s="147"/>
      <c r="N386" s="147"/>
      <c r="O386" s="219"/>
      <c r="P386" s="143"/>
      <c r="Q386" s="147"/>
      <c r="R386" s="141"/>
      <c r="S386" s="220"/>
      <c r="T386" s="219"/>
      <c r="U386" s="359">
        <f t="shared" si="45"/>
        <v>0</v>
      </c>
      <c r="V386" s="365">
        <f t="shared" si="40"/>
        <v>0</v>
      </c>
      <c r="W386" s="366">
        <f t="shared" si="41"/>
        <v>0</v>
      </c>
      <c r="X386" s="362">
        <f t="shared" si="43"/>
        <v>0</v>
      </c>
      <c r="Y386" s="294">
        <f t="shared" ca="1" si="44"/>
        <v>46104</v>
      </c>
      <c r="Z386" s="375"/>
      <c r="AA386" s="249"/>
      <c r="AB386" s="391">
        <f t="shared" ca="1" si="42"/>
        <v>-46104</v>
      </c>
    </row>
    <row r="387" spans="1:28" ht="108" hidden="1" customHeight="1" x14ac:dyDescent="1.95">
      <c r="A387" s="23">
        <f>'MODIFICAR CODIGOS '!A387</f>
        <v>0</v>
      </c>
      <c r="B387" s="271">
        <f>'MODIFICAR CODIGOS '!B387</f>
        <v>0</v>
      </c>
      <c r="C387" s="284">
        <f>'MODIFICAR CODIGOS '!C387</f>
        <v>0</v>
      </c>
      <c r="D387" s="23">
        <f>'MODIFICAR CODIGOS '!D387</f>
        <v>0</v>
      </c>
      <c r="E387" s="23">
        <f>'MODIFICAR CODIGOS '!E387</f>
        <v>1</v>
      </c>
      <c r="F387" s="220"/>
      <c r="G387" s="147"/>
      <c r="H387" s="147"/>
      <c r="I387" s="147"/>
      <c r="J387" s="147"/>
      <c r="K387" s="219"/>
      <c r="L387" s="220"/>
      <c r="M387" s="147"/>
      <c r="N387" s="147"/>
      <c r="O387" s="219"/>
      <c r="P387" s="143"/>
      <c r="Q387" s="147"/>
      <c r="R387" s="141"/>
      <c r="S387" s="220"/>
      <c r="T387" s="219"/>
      <c r="U387" s="359">
        <f t="shared" si="45"/>
        <v>0</v>
      </c>
      <c r="V387" s="365">
        <f t="shared" ref="V387:V450" si="46">(F387*C387+G387*C387+H387*C387+I387*C387+J387*C387+K387*C387+L387*D387+M387*D387+N387*D387+O387*D387+P387*1+Q387*1+R387*1+(TRUNC((S387+T387)/E387)))</f>
        <v>0</v>
      </c>
      <c r="W387" s="366">
        <f t="shared" ref="W387:W450" si="47">(((S387+T387)/E387-TRUNC((S387+T387)/E387))*E387)</f>
        <v>0</v>
      </c>
      <c r="X387" s="362">
        <f t="shared" si="43"/>
        <v>0</v>
      </c>
      <c r="Y387" s="294">
        <f t="shared" ca="1" si="44"/>
        <v>46104</v>
      </c>
      <c r="Z387" s="375"/>
      <c r="AA387" s="249"/>
      <c r="AB387" s="391">
        <f t="shared" ca="1" si="42"/>
        <v>-46104</v>
      </c>
    </row>
    <row r="388" spans="1:28" ht="107.4" hidden="1" x14ac:dyDescent="1.95">
      <c r="A388" s="23">
        <f>'MODIFICAR CODIGOS '!A388</f>
        <v>0</v>
      </c>
      <c r="B388" s="271">
        <f>'MODIFICAR CODIGOS '!B388</f>
        <v>0</v>
      </c>
      <c r="C388" s="284">
        <f>'MODIFICAR CODIGOS '!C388</f>
        <v>0</v>
      </c>
      <c r="D388" s="23">
        <f>'MODIFICAR CODIGOS '!D388</f>
        <v>0</v>
      </c>
      <c r="E388" s="23">
        <f>'MODIFICAR CODIGOS '!E388</f>
        <v>1</v>
      </c>
      <c r="F388" s="220"/>
      <c r="G388" s="147"/>
      <c r="H388" s="147"/>
      <c r="I388" s="147"/>
      <c r="J388" s="147"/>
      <c r="K388" s="219"/>
      <c r="L388" s="220"/>
      <c r="M388" s="147"/>
      <c r="N388" s="147"/>
      <c r="O388" s="219"/>
      <c r="P388" s="143"/>
      <c r="Q388" s="147"/>
      <c r="R388" s="141"/>
      <c r="S388" s="220"/>
      <c r="T388" s="219"/>
      <c r="U388" s="359">
        <f t="shared" si="45"/>
        <v>0</v>
      </c>
      <c r="V388" s="365">
        <f t="shared" si="46"/>
        <v>0</v>
      </c>
      <c r="W388" s="366">
        <f t="shared" si="47"/>
        <v>0</v>
      </c>
      <c r="X388" s="362">
        <f t="shared" si="43"/>
        <v>0</v>
      </c>
      <c r="Y388" s="294">
        <f t="shared" ca="1" si="44"/>
        <v>46104</v>
      </c>
      <c r="Z388" s="375"/>
      <c r="AA388" s="249"/>
      <c r="AB388" s="391">
        <f t="shared" ca="1" si="42"/>
        <v>-46104</v>
      </c>
    </row>
    <row r="389" spans="1:28" ht="107.4" hidden="1" x14ac:dyDescent="1.95">
      <c r="A389" s="23">
        <f>'MODIFICAR CODIGOS '!A389</f>
        <v>0</v>
      </c>
      <c r="B389" s="271">
        <f>'MODIFICAR CODIGOS '!B389</f>
        <v>0</v>
      </c>
      <c r="C389" s="284">
        <f>'MODIFICAR CODIGOS '!C389</f>
        <v>0</v>
      </c>
      <c r="D389" s="23">
        <f>'MODIFICAR CODIGOS '!D389</f>
        <v>0</v>
      </c>
      <c r="E389" s="23">
        <f>'MODIFICAR CODIGOS '!E389</f>
        <v>1</v>
      </c>
      <c r="F389" s="220"/>
      <c r="G389" s="147"/>
      <c r="H389" s="147"/>
      <c r="I389" s="147"/>
      <c r="J389" s="147"/>
      <c r="K389" s="219"/>
      <c r="L389" s="220"/>
      <c r="M389" s="147"/>
      <c r="N389" s="147"/>
      <c r="O389" s="219"/>
      <c r="P389" s="143"/>
      <c r="Q389" s="147"/>
      <c r="R389" s="141"/>
      <c r="S389" s="220"/>
      <c r="T389" s="219"/>
      <c r="U389" s="359">
        <f t="shared" si="45"/>
        <v>0</v>
      </c>
      <c r="V389" s="365">
        <f t="shared" si="46"/>
        <v>0</v>
      </c>
      <c r="W389" s="366">
        <f t="shared" si="47"/>
        <v>0</v>
      </c>
      <c r="X389" s="362">
        <f t="shared" si="43"/>
        <v>0</v>
      </c>
      <c r="Y389" s="294">
        <f t="shared" ca="1" si="44"/>
        <v>46104</v>
      </c>
      <c r="Z389" s="375"/>
      <c r="AA389" s="249"/>
      <c r="AB389" s="391">
        <f t="shared" ca="1" si="42"/>
        <v>-46104</v>
      </c>
    </row>
    <row r="390" spans="1:28" ht="107.4" hidden="1" x14ac:dyDescent="1.95">
      <c r="A390" s="23">
        <f>'MODIFICAR CODIGOS '!A390</f>
        <v>0</v>
      </c>
      <c r="B390" s="271">
        <f>'MODIFICAR CODIGOS '!B390</f>
        <v>0</v>
      </c>
      <c r="C390" s="284">
        <f>'MODIFICAR CODIGOS '!C390</f>
        <v>0</v>
      </c>
      <c r="D390" s="23">
        <f>'MODIFICAR CODIGOS '!D390</f>
        <v>0</v>
      </c>
      <c r="E390" s="23">
        <f>'MODIFICAR CODIGOS '!E390</f>
        <v>1</v>
      </c>
      <c r="F390" s="220"/>
      <c r="G390" s="147"/>
      <c r="H390" s="147"/>
      <c r="I390" s="147"/>
      <c r="J390" s="147"/>
      <c r="K390" s="219"/>
      <c r="L390" s="220"/>
      <c r="M390" s="147"/>
      <c r="N390" s="147"/>
      <c r="O390" s="219"/>
      <c r="P390" s="143"/>
      <c r="Q390" s="147"/>
      <c r="R390" s="141"/>
      <c r="S390" s="220"/>
      <c r="T390" s="219"/>
      <c r="U390" s="359">
        <f t="shared" si="45"/>
        <v>0</v>
      </c>
      <c r="V390" s="365">
        <f t="shared" si="46"/>
        <v>0</v>
      </c>
      <c r="W390" s="366">
        <f t="shared" si="47"/>
        <v>0</v>
      </c>
      <c r="X390" s="362">
        <f t="shared" si="43"/>
        <v>0</v>
      </c>
      <c r="Y390" s="294">
        <f t="shared" ca="1" si="44"/>
        <v>46104</v>
      </c>
      <c r="Z390" s="375"/>
      <c r="AA390" s="249"/>
      <c r="AB390" s="391">
        <f t="shared" ca="1" si="42"/>
        <v>-46104</v>
      </c>
    </row>
    <row r="391" spans="1:28" ht="107.4" hidden="1" x14ac:dyDescent="1.95">
      <c r="A391" s="23">
        <f>'MODIFICAR CODIGOS '!A391</f>
        <v>0</v>
      </c>
      <c r="B391" s="271">
        <f>'MODIFICAR CODIGOS '!B391</f>
        <v>0</v>
      </c>
      <c r="C391" s="284">
        <f>'MODIFICAR CODIGOS '!C391</f>
        <v>0</v>
      </c>
      <c r="D391" s="23">
        <f>'MODIFICAR CODIGOS '!D391</f>
        <v>0</v>
      </c>
      <c r="E391" s="23">
        <f>'MODIFICAR CODIGOS '!E391</f>
        <v>1</v>
      </c>
      <c r="F391" s="220"/>
      <c r="G391" s="147"/>
      <c r="H391" s="147"/>
      <c r="I391" s="147"/>
      <c r="J391" s="147"/>
      <c r="K391" s="219"/>
      <c r="L391" s="220"/>
      <c r="M391" s="147"/>
      <c r="N391" s="147"/>
      <c r="O391" s="219"/>
      <c r="P391" s="143"/>
      <c r="Q391" s="147"/>
      <c r="R391" s="141"/>
      <c r="S391" s="220"/>
      <c r="T391" s="219"/>
      <c r="U391" s="359">
        <f t="shared" si="45"/>
        <v>0</v>
      </c>
      <c r="V391" s="365">
        <f t="shared" si="46"/>
        <v>0</v>
      </c>
      <c r="W391" s="366">
        <f t="shared" si="47"/>
        <v>0</v>
      </c>
      <c r="X391" s="362">
        <f t="shared" si="43"/>
        <v>0</v>
      </c>
      <c r="Y391" s="294">
        <f t="shared" ca="1" si="44"/>
        <v>46104</v>
      </c>
      <c r="Z391" s="375"/>
      <c r="AA391" s="249"/>
      <c r="AB391" s="391">
        <f t="shared" ca="1" si="42"/>
        <v>-46104</v>
      </c>
    </row>
    <row r="392" spans="1:28" ht="107.4" hidden="1" x14ac:dyDescent="1.95">
      <c r="A392" s="23">
        <f>'MODIFICAR CODIGOS '!A392</f>
        <v>0</v>
      </c>
      <c r="B392" s="271">
        <f>'MODIFICAR CODIGOS '!B392</f>
        <v>0</v>
      </c>
      <c r="C392" s="284">
        <f>'MODIFICAR CODIGOS '!C392</f>
        <v>0</v>
      </c>
      <c r="D392" s="23">
        <f>'MODIFICAR CODIGOS '!D392</f>
        <v>0</v>
      </c>
      <c r="E392" s="23">
        <f>'MODIFICAR CODIGOS '!E392</f>
        <v>1</v>
      </c>
      <c r="F392" s="220"/>
      <c r="G392" s="147"/>
      <c r="H392" s="147"/>
      <c r="I392" s="147"/>
      <c r="J392" s="147"/>
      <c r="K392" s="219"/>
      <c r="L392" s="220"/>
      <c r="M392" s="147"/>
      <c r="N392" s="147"/>
      <c r="O392" s="219"/>
      <c r="P392" s="143"/>
      <c r="Q392" s="147"/>
      <c r="R392" s="141"/>
      <c r="S392" s="220"/>
      <c r="T392" s="219"/>
      <c r="U392" s="359">
        <f t="shared" si="45"/>
        <v>0</v>
      </c>
      <c r="V392" s="365">
        <f t="shared" si="46"/>
        <v>0</v>
      </c>
      <c r="W392" s="366">
        <f t="shared" si="47"/>
        <v>0</v>
      </c>
      <c r="X392" s="362">
        <f t="shared" si="43"/>
        <v>0</v>
      </c>
      <c r="Y392" s="294">
        <f t="shared" ca="1" si="44"/>
        <v>46104</v>
      </c>
      <c r="Z392" s="375"/>
      <c r="AA392" s="249"/>
      <c r="AB392" s="391">
        <f t="shared" ca="1" si="42"/>
        <v>-46104</v>
      </c>
    </row>
    <row r="393" spans="1:28" ht="108" hidden="1" customHeight="1" x14ac:dyDescent="1.95">
      <c r="A393" s="23">
        <f>'MODIFICAR CODIGOS '!A393</f>
        <v>0</v>
      </c>
      <c r="B393" s="271">
        <f>'MODIFICAR CODIGOS '!B393</f>
        <v>0</v>
      </c>
      <c r="C393" s="284">
        <f>'MODIFICAR CODIGOS '!C393</f>
        <v>0</v>
      </c>
      <c r="D393" s="23">
        <f>'MODIFICAR CODIGOS '!D393</f>
        <v>0</v>
      </c>
      <c r="E393" s="23">
        <f>'MODIFICAR CODIGOS '!E393</f>
        <v>1</v>
      </c>
      <c r="F393" s="220"/>
      <c r="G393" s="147"/>
      <c r="H393" s="147"/>
      <c r="I393" s="147"/>
      <c r="J393" s="147"/>
      <c r="K393" s="219"/>
      <c r="L393" s="220"/>
      <c r="M393" s="147"/>
      <c r="N393" s="147"/>
      <c r="O393" s="219"/>
      <c r="P393" s="143"/>
      <c r="Q393" s="147"/>
      <c r="R393" s="141"/>
      <c r="S393" s="220"/>
      <c r="T393" s="219"/>
      <c r="U393" s="359">
        <f t="shared" si="45"/>
        <v>0</v>
      </c>
      <c r="V393" s="365">
        <f t="shared" si="46"/>
        <v>0</v>
      </c>
      <c r="W393" s="366">
        <f t="shared" si="47"/>
        <v>0</v>
      </c>
      <c r="X393" s="362">
        <f t="shared" si="43"/>
        <v>0</v>
      </c>
      <c r="Y393" s="294">
        <f t="shared" ca="1" si="44"/>
        <v>46104</v>
      </c>
      <c r="Z393" s="375"/>
      <c r="AA393" s="249"/>
      <c r="AB393" s="391">
        <f t="shared" ca="1" si="42"/>
        <v>-46104</v>
      </c>
    </row>
    <row r="394" spans="1:28" ht="108" hidden="1" customHeight="1" x14ac:dyDescent="1.95">
      <c r="A394" s="23">
        <f>'MODIFICAR CODIGOS '!A394</f>
        <v>0</v>
      </c>
      <c r="B394" s="270">
        <f>'MODIFICAR CODIGOS '!B394</f>
        <v>0</v>
      </c>
      <c r="C394" s="284">
        <f>'MODIFICAR CODIGOS '!C394</f>
        <v>0</v>
      </c>
      <c r="D394" s="23">
        <f>'MODIFICAR CODIGOS '!D394</f>
        <v>0</v>
      </c>
      <c r="E394" s="23">
        <f>'MODIFICAR CODIGOS '!E394</f>
        <v>12</v>
      </c>
      <c r="F394" s="220"/>
      <c r="G394" s="147"/>
      <c r="H394" s="147"/>
      <c r="I394" s="147"/>
      <c r="J394" s="147"/>
      <c r="K394" s="219"/>
      <c r="L394" s="220"/>
      <c r="M394" s="147"/>
      <c r="N394" s="147"/>
      <c r="O394" s="219"/>
      <c r="P394" s="143"/>
      <c r="Q394" s="147"/>
      <c r="R394" s="141"/>
      <c r="S394" s="220"/>
      <c r="T394" s="219"/>
      <c r="U394" s="359">
        <f t="shared" si="45"/>
        <v>0</v>
      </c>
      <c r="V394" s="365">
        <f t="shared" si="46"/>
        <v>0</v>
      </c>
      <c r="W394" s="366">
        <f t="shared" si="47"/>
        <v>0</v>
      </c>
      <c r="X394" s="362">
        <f t="shared" si="43"/>
        <v>0</v>
      </c>
      <c r="Y394" s="294">
        <f t="shared" ca="1" si="44"/>
        <v>46104</v>
      </c>
      <c r="Z394" s="375"/>
      <c r="AA394" s="249"/>
      <c r="AB394" s="391">
        <f t="shared" ca="1" si="42"/>
        <v>-46104</v>
      </c>
    </row>
    <row r="395" spans="1:28" ht="108" hidden="1" customHeight="1" x14ac:dyDescent="1.95">
      <c r="A395" s="23">
        <f>'MODIFICAR CODIGOS '!A395</f>
        <v>0</v>
      </c>
      <c r="B395" s="271">
        <f>'MODIFICAR CODIGOS '!B395</f>
        <v>0</v>
      </c>
      <c r="C395" s="284">
        <f>'MODIFICAR CODIGOS '!C395</f>
        <v>0</v>
      </c>
      <c r="D395" s="23">
        <f>'MODIFICAR CODIGOS '!D395</f>
        <v>0</v>
      </c>
      <c r="E395" s="23">
        <f>'MODIFICAR CODIGOS '!E395</f>
        <v>1</v>
      </c>
      <c r="F395" s="220"/>
      <c r="G395" s="147"/>
      <c r="H395" s="147"/>
      <c r="I395" s="147"/>
      <c r="J395" s="147"/>
      <c r="K395" s="219"/>
      <c r="L395" s="220"/>
      <c r="M395" s="147"/>
      <c r="N395" s="147"/>
      <c r="O395" s="219"/>
      <c r="P395" s="143"/>
      <c r="Q395" s="147"/>
      <c r="R395" s="141"/>
      <c r="S395" s="220"/>
      <c r="T395" s="219"/>
      <c r="U395" s="359">
        <f t="shared" si="45"/>
        <v>0</v>
      </c>
      <c r="V395" s="365">
        <f t="shared" si="46"/>
        <v>0</v>
      </c>
      <c r="W395" s="366">
        <f t="shared" si="47"/>
        <v>0</v>
      </c>
      <c r="X395" s="362">
        <f t="shared" si="43"/>
        <v>0</v>
      </c>
      <c r="Y395" s="294">
        <f t="shared" ca="1" si="44"/>
        <v>46104</v>
      </c>
      <c r="Z395" s="375"/>
      <c r="AA395" s="249"/>
      <c r="AB395" s="391">
        <f t="shared" ca="1" si="42"/>
        <v>-46104</v>
      </c>
    </row>
    <row r="396" spans="1:28" ht="108" customHeight="1" x14ac:dyDescent="1.95">
      <c r="A396" s="23">
        <f>'MODIFICAR CODIGOS '!A396</f>
        <v>160029</v>
      </c>
      <c r="B396" s="270" t="str">
        <f>'MODIFICAR CODIGOS '!B396</f>
        <v>COCA-COLA 330ML LATA (12)</v>
      </c>
      <c r="C396" s="284">
        <f>'MODIFICAR CODIGOS '!C396</f>
        <v>308</v>
      </c>
      <c r="D396" s="23">
        <f>'MODIFICAR CODIGOS '!D396</f>
        <v>22</v>
      </c>
      <c r="E396" s="23">
        <f>'MODIFICAR CODIGOS '!E396</f>
        <v>12</v>
      </c>
      <c r="F396" s="220"/>
      <c r="G396" s="147"/>
      <c r="H396" s="147"/>
      <c r="I396" s="147"/>
      <c r="J396" s="147"/>
      <c r="K396" s="219"/>
      <c r="L396" s="220"/>
      <c r="M396" s="147"/>
      <c r="N396" s="147"/>
      <c r="O396" s="219">
        <v>1</v>
      </c>
      <c r="P396" s="143">
        <v>20</v>
      </c>
      <c r="Q396" s="147"/>
      <c r="R396" s="141"/>
      <c r="S396" s="220">
        <v>3</v>
      </c>
      <c r="T396" s="219"/>
      <c r="U396" s="359">
        <f t="shared" si="45"/>
        <v>42.03</v>
      </c>
      <c r="V396" s="365">
        <f t="shared" si="46"/>
        <v>42</v>
      </c>
      <c r="W396" s="366">
        <f t="shared" si="47"/>
        <v>3</v>
      </c>
      <c r="X396" s="362">
        <f t="shared" si="43"/>
        <v>42.25</v>
      </c>
      <c r="Y396" s="294">
        <f t="shared" ca="1" si="44"/>
        <v>46104</v>
      </c>
      <c r="Z396" s="375"/>
      <c r="AA396" s="384"/>
      <c r="AB396" s="391">
        <f t="shared" ca="1" si="42"/>
        <v>-46104</v>
      </c>
    </row>
    <row r="397" spans="1:28" ht="108" hidden="1" customHeight="1" x14ac:dyDescent="1.95">
      <c r="A397" s="23">
        <f>'MODIFICAR CODIGOS '!A397</f>
        <v>0</v>
      </c>
      <c r="B397" s="271">
        <f>'MODIFICAR CODIGOS '!B397</f>
        <v>0</v>
      </c>
      <c r="C397" s="284">
        <f>'MODIFICAR CODIGOS '!C397</f>
        <v>0</v>
      </c>
      <c r="D397" s="23">
        <f>'MODIFICAR CODIGOS '!D397</f>
        <v>0</v>
      </c>
      <c r="E397" s="23">
        <f>'MODIFICAR CODIGOS '!E397</f>
        <v>1</v>
      </c>
      <c r="F397" s="220"/>
      <c r="G397" s="147"/>
      <c r="H397" s="147"/>
      <c r="I397" s="147"/>
      <c r="J397" s="147"/>
      <c r="K397" s="219"/>
      <c r="L397" s="220"/>
      <c r="M397" s="147"/>
      <c r="N397" s="147"/>
      <c r="O397" s="219"/>
      <c r="P397" s="143"/>
      <c r="Q397" s="147"/>
      <c r="R397" s="141"/>
      <c r="S397" s="220"/>
      <c r="T397" s="219"/>
      <c r="U397" s="359">
        <f t="shared" si="45"/>
        <v>0</v>
      </c>
      <c r="V397" s="365">
        <f t="shared" si="46"/>
        <v>0</v>
      </c>
      <c r="W397" s="366">
        <f t="shared" si="47"/>
        <v>0</v>
      </c>
      <c r="X397" s="362">
        <f t="shared" si="43"/>
        <v>0</v>
      </c>
      <c r="Y397" s="294">
        <f t="shared" ca="1" si="44"/>
        <v>46104</v>
      </c>
      <c r="Z397" s="375"/>
      <c r="AA397" s="249"/>
      <c r="AB397" s="391">
        <f t="shared" ca="1" si="42"/>
        <v>-46104</v>
      </c>
    </row>
    <row r="398" spans="1:28" ht="108" hidden="1" customHeight="1" x14ac:dyDescent="1.95">
      <c r="A398" s="23">
        <f>'MODIFICAR CODIGOS '!A398</f>
        <v>0</v>
      </c>
      <c r="B398" s="271">
        <f>'MODIFICAR CODIGOS '!B398</f>
        <v>0</v>
      </c>
      <c r="C398" s="284">
        <f>'MODIFICAR CODIGOS '!C398</f>
        <v>0</v>
      </c>
      <c r="D398" s="23">
        <f>'MODIFICAR CODIGOS '!D398</f>
        <v>0</v>
      </c>
      <c r="E398" s="23">
        <f>'MODIFICAR CODIGOS '!E398</f>
        <v>1</v>
      </c>
      <c r="F398" s="220"/>
      <c r="G398" s="147"/>
      <c r="H398" s="147"/>
      <c r="I398" s="147"/>
      <c r="J398" s="147"/>
      <c r="K398" s="219"/>
      <c r="L398" s="220"/>
      <c r="M398" s="147"/>
      <c r="N398" s="147"/>
      <c r="O398" s="219"/>
      <c r="P398" s="143"/>
      <c r="Q398" s="147"/>
      <c r="R398" s="141"/>
      <c r="S398" s="220"/>
      <c r="T398" s="219"/>
      <c r="U398" s="359">
        <f t="shared" si="45"/>
        <v>0</v>
      </c>
      <c r="V398" s="365">
        <f t="shared" si="46"/>
        <v>0</v>
      </c>
      <c r="W398" s="366">
        <f t="shared" si="47"/>
        <v>0</v>
      </c>
      <c r="X398" s="362">
        <f t="shared" si="43"/>
        <v>0</v>
      </c>
      <c r="Y398" s="294">
        <f t="shared" ca="1" si="44"/>
        <v>46104</v>
      </c>
      <c r="Z398" s="375"/>
      <c r="AA398" s="249"/>
      <c r="AB398" s="391">
        <f t="shared" ca="1" si="42"/>
        <v>-46104</v>
      </c>
    </row>
    <row r="399" spans="1:28" ht="108" hidden="1" customHeight="1" x14ac:dyDescent="1.95">
      <c r="A399" s="23">
        <f>'MODIFICAR CODIGOS '!A399</f>
        <v>0</v>
      </c>
      <c r="B399" s="271">
        <f>'MODIFICAR CODIGOS '!B399</f>
        <v>0</v>
      </c>
      <c r="C399" s="284">
        <f>'MODIFICAR CODIGOS '!C399</f>
        <v>0</v>
      </c>
      <c r="D399" s="23">
        <f>'MODIFICAR CODIGOS '!D399</f>
        <v>0</v>
      </c>
      <c r="E399" s="23">
        <f>'MODIFICAR CODIGOS '!E399</f>
        <v>1</v>
      </c>
      <c r="F399" s="220"/>
      <c r="G399" s="147"/>
      <c r="H399" s="147"/>
      <c r="I399" s="147"/>
      <c r="J399" s="147"/>
      <c r="K399" s="219"/>
      <c r="L399" s="220"/>
      <c r="M399" s="147"/>
      <c r="N399" s="147"/>
      <c r="O399" s="219"/>
      <c r="P399" s="143"/>
      <c r="Q399" s="147"/>
      <c r="R399" s="141"/>
      <c r="S399" s="220"/>
      <c r="T399" s="219"/>
      <c r="U399" s="359">
        <f t="shared" si="45"/>
        <v>0</v>
      </c>
      <c r="V399" s="365">
        <f t="shared" si="46"/>
        <v>0</v>
      </c>
      <c r="W399" s="366">
        <f t="shared" si="47"/>
        <v>0</v>
      </c>
      <c r="X399" s="362">
        <f t="shared" si="43"/>
        <v>0</v>
      </c>
      <c r="Y399" s="294">
        <f t="shared" ca="1" si="44"/>
        <v>46104</v>
      </c>
      <c r="Z399" s="375"/>
      <c r="AA399" s="249"/>
      <c r="AB399" s="391">
        <f t="shared" ca="1" si="42"/>
        <v>-46104</v>
      </c>
    </row>
    <row r="400" spans="1:28" ht="108" hidden="1" customHeight="1" x14ac:dyDescent="1.95">
      <c r="A400" s="23">
        <f>'MODIFICAR CODIGOS '!A400</f>
        <v>0</v>
      </c>
      <c r="B400" s="271">
        <f>'MODIFICAR CODIGOS '!B400</f>
        <v>0</v>
      </c>
      <c r="C400" s="284">
        <f>'MODIFICAR CODIGOS '!C400</f>
        <v>0</v>
      </c>
      <c r="D400" s="23">
        <f>'MODIFICAR CODIGOS '!D400</f>
        <v>0</v>
      </c>
      <c r="E400" s="23">
        <f>'MODIFICAR CODIGOS '!E400</f>
        <v>1</v>
      </c>
      <c r="F400" s="220"/>
      <c r="G400" s="147"/>
      <c r="H400" s="147"/>
      <c r="I400" s="147"/>
      <c r="J400" s="147"/>
      <c r="K400" s="219"/>
      <c r="L400" s="220"/>
      <c r="M400" s="147"/>
      <c r="N400" s="147"/>
      <c r="O400" s="219"/>
      <c r="P400" s="143"/>
      <c r="Q400" s="147"/>
      <c r="R400" s="141"/>
      <c r="S400" s="220"/>
      <c r="T400" s="219"/>
      <c r="U400" s="359">
        <f t="shared" si="45"/>
        <v>0</v>
      </c>
      <c r="V400" s="365">
        <f t="shared" si="46"/>
        <v>0</v>
      </c>
      <c r="W400" s="366">
        <f t="shared" si="47"/>
        <v>0</v>
      </c>
      <c r="X400" s="362">
        <f t="shared" si="43"/>
        <v>0</v>
      </c>
      <c r="Y400" s="294">
        <f t="shared" ca="1" si="44"/>
        <v>46104</v>
      </c>
      <c r="Z400" s="375"/>
      <c r="AA400" s="249"/>
      <c r="AB400" s="391">
        <f t="shared" ca="1" si="42"/>
        <v>-46104</v>
      </c>
    </row>
    <row r="401" spans="1:28" ht="108" hidden="1" customHeight="1" x14ac:dyDescent="1.95">
      <c r="A401" s="23">
        <f>'MODIFICAR CODIGOS '!A401</f>
        <v>0</v>
      </c>
      <c r="B401" s="271">
        <f>'MODIFICAR CODIGOS '!B401</f>
        <v>0</v>
      </c>
      <c r="C401" s="284">
        <f>'MODIFICAR CODIGOS '!C401</f>
        <v>0</v>
      </c>
      <c r="D401" s="23">
        <f>'MODIFICAR CODIGOS '!D401</f>
        <v>0</v>
      </c>
      <c r="E401" s="23">
        <f>'MODIFICAR CODIGOS '!E401</f>
        <v>1</v>
      </c>
      <c r="F401" s="220"/>
      <c r="G401" s="147"/>
      <c r="H401" s="147"/>
      <c r="I401" s="147"/>
      <c r="J401" s="147"/>
      <c r="K401" s="219"/>
      <c r="L401" s="220"/>
      <c r="M401" s="147"/>
      <c r="N401" s="147"/>
      <c r="O401" s="219"/>
      <c r="P401" s="143"/>
      <c r="Q401" s="147"/>
      <c r="R401" s="141"/>
      <c r="S401" s="220"/>
      <c r="T401" s="219"/>
      <c r="U401" s="359">
        <f t="shared" si="45"/>
        <v>0</v>
      </c>
      <c r="V401" s="365">
        <f t="shared" si="46"/>
        <v>0</v>
      </c>
      <c r="W401" s="366">
        <f t="shared" si="47"/>
        <v>0</v>
      </c>
      <c r="X401" s="362">
        <f t="shared" si="43"/>
        <v>0</v>
      </c>
      <c r="Y401" s="294">
        <f t="shared" ca="1" si="44"/>
        <v>46104</v>
      </c>
      <c r="Z401" s="375"/>
      <c r="AA401" s="249"/>
      <c r="AB401" s="391">
        <f t="shared" ca="1" si="42"/>
        <v>-46104</v>
      </c>
    </row>
    <row r="402" spans="1:28" ht="108" hidden="1" customHeight="1" x14ac:dyDescent="1.95">
      <c r="A402" s="23">
        <f>'MODIFICAR CODIGOS '!A402</f>
        <v>0</v>
      </c>
      <c r="B402" s="271">
        <f>'MODIFICAR CODIGOS '!B402</f>
        <v>0</v>
      </c>
      <c r="C402" s="284">
        <f>'MODIFICAR CODIGOS '!C402</f>
        <v>0</v>
      </c>
      <c r="D402" s="23">
        <f>'MODIFICAR CODIGOS '!D402</f>
        <v>0</v>
      </c>
      <c r="E402" s="23">
        <f>'MODIFICAR CODIGOS '!E402</f>
        <v>1</v>
      </c>
      <c r="F402" s="220"/>
      <c r="G402" s="147"/>
      <c r="H402" s="147"/>
      <c r="I402" s="147"/>
      <c r="J402" s="147"/>
      <c r="K402" s="219"/>
      <c r="L402" s="220"/>
      <c r="M402" s="147"/>
      <c r="N402" s="147"/>
      <c r="O402" s="219"/>
      <c r="P402" s="143"/>
      <c r="Q402" s="147"/>
      <c r="R402" s="141"/>
      <c r="S402" s="220"/>
      <c r="T402" s="219"/>
      <c r="U402" s="359">
        <f t="shared" si="45"/>
        <v>0</v>
      </c>
      <c r="V402" s="365">
        <f t="shared" si="46"/>
        <v>0</v>
      </c>
      <c r="W402" s="366">
        <f t="shared" si="47"/>
        <v>0</v>
      </c>
      <c r="X402" s="362">
        <f t="shared" si="43"/>
        <v>0</v>
      </c>
      <c r="Y402" s="294">
        <f t="shared" ca="1" si="44"/>
        <v>46104</v>
      </c>
      <c r="Z402" s="375"/>
      <c r="AA402" s="249"/>
      <c r="AB402" s="391">
        <f t="shared" ca="1" si="42"/>
        <v>-46104</v>
      </c>
    </row>
    <row r="403" spans="1:28" ht="108" customHeight="1" x14ac:dyDescent="1.95">
      <c r="A403" s="23">
        <f>'MODIFICAR CODIGOS '!A403</f>
        <v>136689</v>
      </c>
      <c r="B403" s="271" t="str">
        <f>'MODIFICAR CODIGOS '!B403</f>
        <v>2PK CC2.5 + VASO</v>
      </c>
      <c r="C403" s="284">
        <f>'MODIFICAR CODIGOS '!C403</f>
        <v>0</v>
      </c>
      <c r="D403" s="23">
        <f>'MODIFICAR CODIGOS '!D403</f>
        <v>32</v>
      </c>
      <c r="E403" s="23">
        <f>'MODIFICAR CODIGOS '!E403</f>
        <v>2</v>
      </c>
      <c r="F403" s="220"/>
      <c r="G403" s="147"/>
      <c r="H403" s="147"/>
      <c r="I403" s="147"/>
      <c r="J403" s="147"/>
      <c r="K403" s="219"/>
      <c r="L403" s="220"/>
      <c r="M403" s="147"/>
      <c r="N403" s="147"/>
      <c r="O403" s="219"/>
      <c r="P403" s="143"/>
      <c r="Q403" s="147">
        <v>8</v>
      </c>
      <c r="R403" s="141"/>
      <c r="S403" s="220"/>
      <c r="T403" s="219"/>
      <c r="U403" s="359">
        <f t="shared" si="45"/>
        <v>8</v>
      </c>
      <c r="V403" s="365">
        <f t="shared" si="46"/>
        <v>8</v>
      </c>
      <c r="W403" s="366">
        <f t="shared" si="47"/>
        <v>0</v>
      </c>
      <c r="X403" s="362">
        <f t="shared" si="43"/>
        <v>8</v>
      </c>
      <c r="Y403" s="294">
        <f t="shared" ca="1" si="44"/>
        <v>46104</v>
      </c>
      <c r="Z403" s="375"/>
      <c r="AA403" s="249"/>
      <c r="AB403" s="391">
        <f t="shared" ca="1" si="42"/>
        <v>-46104</v>
      </c>
    </row>
    <row r="404" spans="1:28" ht="108" customHeight="1" x14ac:dyDescent="1.95">
      <c r="A404" s="23">
        <f>'MODIFICAR CODIGOS '!A404</f>
        <v>136690</v>
      </c>
      <c r="B404" s="271" t="str">
        <f>'MODIFICAR CODIGOS '!B404</f>
        <v>2PK 1CCSO +Q1.5</v>
      </c>
      <c r="C404" s="284">
        <f>'MODIFICAR CODIGOS '!C404</f>
        <v>0</v>
      </c>
      <c r="D404" s="23">
        <f>'MODIFICAR CODIGOS '!D404</f>
        <v>65</v>
      </c>
      <c r="E404" s="23">
        <f>'MODIFICAR CODIGOS '!E404</f>
        <v>2</v>
      </c>
      <c r="F404" s="220"/>
      <c r="G404" s="147"/>
      <c r="H404" s="147"/>
      <c r="I404" s="147"/>
      <c r="J404" s="147"/>
      <c r="K404" s="219"/>
      <c r="L404" s="220"/>
      <c r="M404" s="147"/>
      <c r="N404" s="147"/>
      <c r="O404" s="219"/>
      <c r="P404" s="143">
        <v>54</v>
      </c>
      <c r="Q404" s="147"/>
      <c r="R404" s="141"/>
      <c r="S404" s="220"/>
      <c r="T404" s="219"/>
      <c r="U404" s="359">
        <f t="shared" si="45"/>
        <v>54</v>
      </c>
      <c r="V404" s="365">
        <f t="shared" si="46"/>
        <v>54</v>
      </c>
      <c r="W404" s="366">
        <f t="shared" si="47"/>
        <v>0</v>
      </c>
      <c r="X404" s="362">
        <f t="shared" si="43"/>
        <v>54</v>
      </c>
      <c r="Y404" s="294">
        <f t="shared" ca="1" si="44"/>
        <v>46104</v>
      </c>
      <c r="Z404" s="375"/>
      <c r="AA404" s="249"/>
      <c r="AB404" s="391">
        <f t="shared" ca="1" si="42"/>
        <v>-46104</v>
      </c>
    </row>
    <row r="405" spans="1:28" ht="108" customHeight="1" x14ac:dyDescent="1.95">
      <c r="A405" s="23">
        <f>'MODIFICAR CODIGOS '!A405</f>
        <v>120207</v>
      </c>
      <c r="B405" s="271" t="str">
        <f>'MODIFICAR CODIGOS '!B405</f>
        <v>POWERA ZUL SUPER</v>
      </c>
      <c r="C405" s="284">
        <f>'MODIFICAR CODIGOS '!C405</f>
        <v>0</v>
      </c>
      <c r="D405" s="23">
        <f>'MODIFICAR CODIGOS '!D405</f>
        <v>50</v>
      </c>
      <c r="E405" s="23">
        <f>'MODIFICAR CODIGOS '!E405</f>
        <v>6</v>
      </c>
      <c r="F405" s="220"/>
      <c r="G405" s="147"/>
      <c r="H405" s="147"/>
      <c r="I405" s="147"/>
      <c r="J405" s="147"/>
      <c r="K405" s="219"/>
      <c r="L405" s="220"/>
      <c r="M405" s="147"/>
      <c r="N405" s="147"/>
      <c r="O405" s="219"/>
      <c r="P405" s="143"/>
      <c r="Q405" s="147"/>
      <c r="R405" s="141"/>
      <c r="S405" s="220"/>
      <c r="T405" s="219"/>
      <c r="U405" s="359">
        <f t="shared" si="45"/>
        <v>0</v>
      </c>
      <c r="V405" s="365">
        <f t="shared" si="46"/>
        <v>0</v>
      </c>
      <c r="W405" s="366">
        <f t="shared" si="47"/>
        <v>0</v>
      </c>
      <c r="X405" s="362">
        <f t="shared" si="43"/>
        <v>0</v>
      </c>
      <c r="Y405" s="294">
        <f t="shared" ca="1" si="44"/>
        <v>46104</v>
      </c>
      <c r="Z405" s="375"/>
      <c r="AA405" s="249"/>
      <c r="AB405" s="391">
        <f t="shared" ca="1" si="42"/>
        <v>-46104</v>
      </c>
    </row>
    <row r="406" spans="1:28" ht="108" customHeight="1" x14ac:dyDescent="1.95">
      <c r="A406" s="23">
        <f>'MODIFICAR CODIGOS '!A406</f>
        <v>136730</v>
      </c>
      <c r="B406" s="271" t="str">
        <f>'MODIFICAR CODIGOS '!B406</f>
        <v>2PK Q1.5 +SODA1.5</v>
      </c>
      <c r="C406" s="284">
        <f>'MODIFICAR CODIGOS '!C406</f>
        <v>0</v>
      </c>
      <c r="D406" s="23">
        <f>'MODIFICAR CODIGOS '!D406</f>
        <v>65</v>
      </c>
      <c r="E406" s="23">
        <f>'MODIFICAR CODIGOS '!E406</f>
        <v>2</v>
      </c>
      <c r="F406" s="220"/>
      <c r="G406" s="147"/>
      <c r="H406" s="147"/>
      <c r="I406" s="147"/>
      <c r="J406" s="147"/>
      <c r="K406" s="219"/>
      <c r="L406" s="220"/>
      <c r="M406" s="147"/>
      <c r="N406" s="147"/>
      <c r="O406" s="219"/>
      <c r="P406" s="143"/>
      <c r="Q406" s="147"/>
      <c r="R406" s="141"/>
      <c r="S406" s="220"/>
      <c r="T406" s="219"/>
      <c r="U406" s="359">
        <f t="shared" si="45"/>
        <v>0</v>
      </c>
      <c r="V406" s="365">
        <f t="shared" si="46"/>
        <v>0</v>
      </c>
      <c r="W406" s="366">
        <f t="shared" si="47"/>
        <v>0</v>
      </c>
      <c r="X406" s="362">
        <f t="shared" si="43"/>
        <v>0</v>
      </c>
      <c r="Y406" s="294">
        <f t="shared" ca="1" si="44"/>
        <v>46104</v>
      </c>
      <c r="Z406" s="375"/>
      <c r="AA406" s="249"/>
      <c r="AB406" s="391">
        <f t="shared" ca="1" si="42"/>
        <v>-46104</v>
      </c>
    </row>
    <row r="407" spans="1:28" ht="108" customHeight="1" x14ac:dyDescent="1.95">
      <c r="A407" s="23">
        <f>'MODIFICAR CODIGOS '!A407</f>
        <v>56841</v>
      </c>
      <c r="B407" s="271" t="str">
        <f>'MODIFICAR CODIGOS '!B407</f>
        <v>FLASHLYTE UVA 625PET(6)</v>
      </c>
      <c r="C407" s="284">
        <f>'MODIFICAR CODIGOS '!C407</f>
        <v>204</v>
      </c>
      <c r="D407" s="23">
        <f>'MODIFICAR CODIGOS '!D407</f>
        <v>34</v>
      </c>
      <c r="E407" s="23">
        <f>'MODIFICAR CODIGOS '!E407</f>
        <v>6</v>
      </c>
      <c r="F407" s="220"/>
      <c r="G407" s="147"/>
      <c r="H407" s="147"/>
      <c r="I407" s="147"/>
      <c r="J407" s="147"/>
      <c r="K407" s="219">
        <v>1</v>
      </c>
      <c r="L407" s="220"/>
      <c r="M407" s="147"/>
      <c r="N407" s="147"/>
      <c r="O407" s="219">
        <v>1</v>
      </c>
      <c r="P407" s="143">
        <v>24</v>
      </c>
      <c r="Q407" s="147"/>
      <c r="R407" s="141"/>
      <c r="S407" s="220">
        <v>5</v>
      </c>
      <c r="T407" s="219"/>
      <c r="U407" s="359">
        <f t="shared" si="45"/>
        <v>262.05</v>
      </c>
      <c r="V407" s="365">
        <f t="shared" si="46"/>
        <v>262</v>
      </c>
      <c r="W407" s="366">
        <f t="shared" si="47"/>
        <v>5</v>
      </c>
      <c r="X407" s="362">
        <f>V407+W407/E407</f>
        <v>262.83333333333331</v>
      </c>
      <c r="Y407" s="294">
        <f t="shared" ca="1" si="44"/>
        <v>46104</v>
      </c>
      <c r="Z407" s="375"/>
      <c r="AA407" s="249"/>
      <c r="AB407" s="391">
        <f t="shared" ca="1" si="42"/>
        <v>-46104</v>
      </c>
    </row>
    <row r="408" spans="1:28" ht="108" customHeight="1" x14ac:dyDescent="1.95">
      <c r="A408" s="23">
        <f>'MODIFICAR CODIGOS '!A408</f>
        <v>56842</v>
      </c>
      <c r="B408" s="271" t="str">
        <f>'MODIFICAR CODIGOS '!B408</f>
        <v>FLASHLYTE COCO 625PET(6)</v>
      </c>
      <c r="C408" s="284">
        <f>'MODIFICAR CODIGOS '!C408</f>
        <v>204</v>
      </c>
      <c r="D408" s="23">
        <f>'MODIFICAR CODIGOS '!D408</f>
        <v>34</v>
      </c>
      <c r="E408" s="23">
        <f>'MODIFICAR CODIGOS '!E408</f>
        <v>6</v>
      </c>
      <c r="F408" s="220"/>
      <c r="G408" s="147"/>
      <c r="H408" s="147"/>
      <c r="I408" s="147"/>
      <c r="J408" s="147"/>
      <c r="K408" s="219"/>
      <c r="L408" s="220"/>
      <c r="M408" s="147"/>
      <c r="N408" s="147"/>
      <c r="O408" s="219">
        <v>3</v>
      </c>
      <c r="P408" s="143">
        <v>25</v>
      </c>
      <c r="Q408" s="147"/>
      <c r="R408" s="141"/>
      <c r="S408" s="220">
        <v>3</v>
      </c>
      <c r="T408" s="219"/>
      <c r="U408" s="359">
        <f t="shared" si="45"/>
        <v>127.03</v>
      </c>
      <c r="V408" s="365">
        <f t="shared" si="46"/>
        <v>127</v>
      </c>
      <c r="W408" s="366">
        <f t="shared" si="47"/>
        <v>3</v>
      </c>
      <c r="X408" s="362">
        <f>V408+W408/E408</f>
        <v>127.5</v>
      </c>
      <c r="Y408" s="294">
        <f t="shared" ca="1" si="44"/>
        <v>46104</v>
      </c>
      <c r="Z408" s="375"/>
      <c r="AA408" s="249"/>
      <c r="AB408" s="391">
        <f t="shared" ca="1" si="42"/>
        <v>-46104</v>
      </c>
    </row>
    <row r="409" spans="1:28" ht="108" hidden="1" customHeight="1" x14ac:dyDescent="1.95">
      <c r="A409" s="23">
        <f>'MODIFICAR CODIGOS '!A409</f>
        <v>0</v>
      </c>
      <c r="B409" s="271">
        <f>'MODIFICAR CODIGOS '!B409</f>
        <v>0</v>
      </c>
      <c r="C409" s="284">
        <f>'MODIFICAR CODIGOS '!C409</f>
        <v>0</v>
      </c>
      <c r="D409" s="23">
        <f>'MODIFICAR CODIGOS '!D409</f>
        <v>0</v>
      </c>
      <c r="E409" s="23">
        <f>'MODIFICAR CODIGOS '!E409</f>
        <v>1</v>
      </c>
      <c r="F409" s="220"/>
      <c r="G409" s="147"/>
      <c r="H409" s="147"/>
      <c r="I409" s="147"/>
      <c r="J409" s="147"/>
      <c r="K409" s="219"/>
      <c r="L409" s="220"/>
      <c r="M409" s="147"/>
      <c r="N409" s="147"/>
      <c r="O409" s="219"/>
      <c r="P409" s="143"/>
      <c r="Q409" s="147"/>
      <c r="R409" s="141"/>
      <c r="S409" s="220"/>
      <c r="T409" s="219"/>
      <c r="U409" s="359">
        <f t="shared" si="45"/>
        <v>0</v>
      </c>
      <c r="V409" s="365">
        <f t="shared" si="46"/>
        <v>0</v>
      </c>
      <c r="W409" s="366">
        <f t="shared" si="47"/>
        <v>0</v>
      </c>
      <c r="X409" s="362">
        <f t="shared" si="43"/>
        <v>0</v>
      </c>
      <c r="Y409" s="294">
        <f t="shared" ca="1" si="44"/>
        <v>46104</v>
      </c>
      <c r="Z409" s="375"/>
      <c r="AA409" s="249"/>
      <c r="AB409" s="391">
        <f t="shared" ref="AB409:AB451" ca="1" si="48">AA409-Y409</f>
        <v>-46104</v>
      </c>
    </row>
    <row r="410" spans="1:28" ht="108" hidden="1" customHeight="1" x14ac:dyDescent="1.95">
      <c r="A410" s="23">
        <f>'MODIFICAR CODIGOS '!A410</f>
        <v>0</v>
      </c>
      <c r="B410" s="271">
        <f>'MODIFICAR CODIGOS '!B410</f>
        <v>0</v>
      </c>
      <c r="C410" s="284">
        <f>'MODIFICAR CODIGOS '!C410</f>
        <v>0</v>
      </c>
      <c r="D410" s="23">
        <f>'MODIFICAR CODIGOS '!D410</f>
        <v>0</v>
      </c>
      <c r="E410" s="23">
        <f>'MODIFICAR CODIGOS '!E410</f>
        <v>1</v>
      </c>
      <c r="F410" s="220"/>
      <c r="G410" s="147"/>
      <c r="H410" s="147"/>
      <c r="I410" s="147"/>
      <c r="J410" s="147"/>
      <c r="K410" s="219"/>
      <c r="L410" s="220"/>
      <c r="M410" s="147"/>
      <c r="N410" s="147"/>
      <c r="O410" s="219"/>
      <c r="P410" s="143"/>
      <c r="Q410" s="147"/>
      <c r="R410" s="141"/>
      <c r="S410" s="220"/>
      <c r="T410" s="219"/>
      <c r="U410" s="359">
        <f t="shared" si="45"/>
        <v>0</v>
      </c>
      <c r="V410" s="365">
        <f t="shared" si="46"/>
        <v>0</v>
      </c>
      <c r="W410" s="366">
        <f t="shared" si="47"/>
        <v>0</v>
      </c>
      <c r="X410" s="362">
        <f t="shared" si="43"/>
        <v>0</v>
      </c>
      <c r="Y410" s="294">
        <f t="shared" ca="1" si="44"/>
        <v>46104</v>
      </c>
      <c r="Z410" s="375"/>
      <c r="AA410" s="249"/>
      <c r="AB410" s="391">
        <f t="shared" ca="1" si="48"/>
        <v>-46104</v>
      </c>
    </row>
    <row r="411" spans="1:28" ht="108" hidden="1" customHeight="1" x14ac:dyDescent="1.95">
      <c r="A411" s="23">
        <f>'MODIFICAR CODIGOS '!A411</f>
        <v>0</v>
      </c>
      <c r="B411" s="271">
        <f>'MODIFICAR CODIGOS '!B411</f>
        <v>0</v>
      </c>
      <c r="C411" s="284">
        <f>'MODIFICAR CODIGOS '!C411</f>
        <v>0</v>
      </c>
      <c r="D411" s="23">
        <f>'MODIFICAR CODIGOS '!D411</f>
        <v>0</v>
      </c>
      <c r="E411" s="23">
        <f>'MODIFICAR CODIGOS '!E411</f>
        <v>1</v>
      </c>
      <c r="F411" s="220"/>
      <c r="G411" s="147"/>
      <c r="H411" s="147"/>
      <c r="I411" s="147"/>
      <c r="J411" s="147"/>
      <c r="K411" s="219"/>
      <c r="L411" s="220"/>
      <c r="M411" s="147"/>
      <c r="N411" s="147"/>
      <c r="O411" s="219"/>
      <c r="P411" s="143"/>
      <c r="Q411" s="147"/>
      <c r="R411" s="141"/>
      <c r="S411" s="220"/>
      <c r="T411" s="219"/>
      <c r="U411" s="359">
        <f t="shared" si="45"/>
        <v>0</v>
      </c>
      <c r="V411" s="365">
        <f t="shared" si="46"/>
        <v>0</v>
      </c>
      <c r="W411" s="366">
        <f t="shared" si="47"/>
        <v>0</v>
      </c>
      <c r="X411" s="362">
        <f t="shared" si="43"/>
        <v>0</v>
      </c>
      <c r="Y411" s="294">
        <f t="shared" ca="1" si="44"/>
        <v>46104</v>
      </c>
      <c r="Z411" s="375"/>
      <c r="AA411" s="249"/>
      <c r="AB411" s="391">
        <f t="shared" ca="1" si="48"/>
        <v>-46104</v>
      </c>
    </row>
    <row r="412" spans="1:28" ht="108" hidden="1" customHeight="1" x14ac:dyDescent="1.95">
      <c r="A412" s="23">
        <f>'MODIFICAR CODIGOS '!A412</f>
        <v>0</v>
      </c>
      <c r="B412" s="271">
        <f>'MODIFICAR CODIGOS '!B412</f>
        <v>0</v>
      </c>
      <c r="C412" s="284">
        <f>'MODIFICAR CODIGOS '!C412</f>
        <v>0</v>
      </c>
      <c r="D412" s="23">
        <f>'MODIFICAR CODIGOS '!D412</f>
        <v>0</v>
      </c>
      <c r="E412" s="23">
        <f>'MODIFICAR CODIGOS '!E412</f>
        <v>1</v>
      </c>
      <c r="F412" s="220"/>
      <c r="G412" s="147"/>
      <c r="H412" s="147"/>
      <c r="I412" s="147"/>
      <c r="J412" s="147"/>
      <c r="K412" s="219"/>
      <c r="L412" s="220"/>
      <c r="M412" s="147"/>
      <c r="N412" s="147"/>
      <c r="O412" s="219"/>
      <c r="P412" s="143"/>
      <c r="Q412" s="147"/>
      <c r="R412" s="141"/>
      <c r="S412" s="220"/>
      <c r="T412" s="219"/>
      <c r="U412" s="359">
        <f t="shared" si="45"/>
        <v>0</v>
      </c>
      <c r="V412" s="365">
        <f t="shared" si="46"/>
        <v>0</v>
      </c>
      <c r="W412" s="366">
        <f t="shared" si="47"/>
        <v>0</v>
      </c>
      <c r="X412" s="362">
        <f t="shared" si="43"/>
        <v>0</v>
      </c>
      <c r="Y412" s="294">
        <f t="shared" ca="1" si="44"/>
        <v>46104</v>
      </c>
      <c r="Z412" s="375"/>
      <c r="AA412" s="249"/>
      <c r="AB412" s="391">
        <f t="shared" ca="1" si="48"/>
        <v>-46104</v>
      </c>
    </row>
    <row r="413" spans="1:28" ht="108" hidden="1" customHeight="1" x14ac:dyDescent="1.95">
      <c r="A413" s="23">
        <f>'MODIFICAR CODIGOS '!A413</f>
        <v>0</v>
      </c>
      <c r="B413" s="271">
        <f>'MODIFICAR CODIGOS '!B413</f>
        <v>0</v>
      </c>
      <c r="C413" s="284">
        <f>'MODIFICAR CODIGOS '!C413</f>
        <v>0</v>
      </c>
      <c r="D413" s="23">
        <f>'MODIFICAR CODIGOS '!D413</f>
        <v>0</v>
      </c>
      <c r="E413" s="23">
        <f>'MODIFICAR CODIGOS '!E413</f>
        <v>1</v>
      </c>
      <c r="F413" s="220"/>
      <c r="G413" s="147"/>
      <c r="H413" s="147"/>
      <c r="I413" s="147"/>
      <c r="J413" s="147"/>
      <c r="K413" s="219"/>
      <c r="L413" s="220"/>
      <c r="M413" s="147"/>
      <c r="N413" s="147"/>
      <c r="O413" s="219"/>
      <c r="P413" s="143"/>
      <c r="Q413" s="147"/>
      <c r="R413" s="141"/>
      <c r="S413" s="220"/>
      <c r="T413" s="219"/>
      <c r="U413" s="359">
        <f t="shared" si="45"/>
        <v>0</v>
      </c>
      <c r="V413" s="365">
        <f t="shared" si="46"/>
        <v>0</v>
      </c>
      <c r="W413" s="366">
        <f t="shared" si="47"/>
        <v>0</v>
      </c>
      <c r="X413" s="362">
        <f t="shared" si="43"/>
        <v>0</v>
      </c>
      <c r="Y413" s="294">
        <f t="shared" ca="1" si="44"/>
        <v>46104</v>
      </c>
      <c r="Z413" s="375"/>
      <c r="AA413" s="249"/>
      <c r="AB413" s="391">
        <f t="shared" ca="1" si="48"/>
        <v>-46104</v>
      </c>
    </row>
    <row r="414" spans="1:28" ht="108" hidden="1" customHeight="1" x14ac:dyDescent="1.95">
      <c r="A414" s="23">
        <f>'MODIFICAR CODIGOS '!A414</f>
        <v>0</v>
      </c>
      <c r="B414" s="270">
        <f>'MODIFICAR CODIGOS '!B414</f>
        <v>0</v>
      </c>
      <c r="C414" s="284">
        <f>'MODIFICAR CODIGOS '!C414</f>
        <v>0</v>
      </c>
      <c r="D414" s="23">
        <f>'MODIFICAR CODIGOS '!D414</f>
        <v>0</v>
      </c>
      <c r="E414" s="23">
        <f>'MODIFICAR CODIGOS '!E414</f>
        <v>12</v>
      </c>
      <c r="F414" s="220"/>
      <c r="G414" s="147"/>
      <c r="H414" s="147"/>
      <c r="I414" s="147"/>
      <c r="J414" s="147"/>
      <c r="K414" s="219"/>
      <c r="L414" s="220"/>
      <c r="M414" s="147"/>
      <c r="N414" s="147"/>
      <c r="O414" s="219"/>
      <c r="P414" s="143"/>
      <c r="Q414" s="147"/>
      <c r="R414" s="141"/>
      <c r="S414" s="220"/>
      <c r="T414" s="219"/>
      <c r="U414" s="359">
        <f t="shared" si="45"/>
        <v>0</v>
      </c>
      <c r="V414" s="365">
        <f t="shared" si="46"/>
        <v>0</v>
      </c>
      <c r="W414" s="366">
        <f t="shared" si="47"/>
        <v>0</v>
      </c>
      <c r="X414" s="362">
        <f t="shared" si="43"/>
        <v>0</v>
      </c>
      <c r="Y414" s="294">
        <f t="shared" ca="1" si="44"/>
        <v>46104</v>
      </c>
      <c r="Z414" s="375"/>
      <c r="AA414" s="249"/>
      <c r="AB414" s="391">
        <f t="shared" ca="1" si="48"/>
        <v>-46104</v>
      </c>
    </row>
    <row r="415" spans="1:28" ht="108" hidden="1" customHeight="1" x14ac:dyDescent="1.95">
      <c r="A415" s="23">
        <f>'MODIFICAR CODIGOS '!A415</f>
        <v>0</v>
      </c>
      <c r="B415" s="271">
        <f>'MODIFICAR CODIGOS '!B415</f>
        <v>0</v>
      </c>
      <c r="C415" s="284">
        <f>'MODIFICAR CODIGOS '!C415</f>
        <v>0</v>
      </c>
      <c r="D415" s="23">
        <f>'MODIFICAR CODIGOS '!D415</f>
        <v>0</v>
      </c>
      <c r="E415" s="23">
        <f>'MODIFICAR CODIGOS '!E415</f>
        <v>1</v>
      </c>
      <c r="F415" s="220"/>
      <c r="G415" s="147"/>
      <c r="H415" s="147"/>
      <c r="I415" s="147"/>
      <c r="J415" s="147"/>
      <c r="K415" s="219"/>
      <c r="L415" s="220"/>
      <c r="M415" s="147"/>
      <c r="N415" s="147"/>
      <c r="O415" s="219"/>
      <c r="P415" s="143"/>
      <c r="Q415" s="147"/>
      <c r="R415" s="141"/>
      <c r="S415" s="220"/>
      <c r="T415" s="219"/>
      <c r="U415" s="359">
        <f t="shared" si="45"/>
        <v>0</v>
      </c>
      <c r="V415" s="365">
        <f t="shared" si="46"/>
        <v>0</v>
      </c>
      <c r="W415" s="366">
        <f t="shared" si="47"/>
        <v>0</v>
      </c>
      <c r="X415" s="362">
        <f t="shared" si="43"/>
        <v>0</v>
      </c>
      <c r="Y415" s="294">
        <f t="shared" ca="1" si="44"/>
        <v>46104</v>
      </c>
      <c r="Z415" s="375"/>
      <c r="AA415" s="249"/>
      <c r="AB415" s="391">
        <f t="shared" ca="1" si="48"/>
        <v>-46104</v>
      </c>
    </row>
    <row r="416" spans="1:28" ht="108" hidden="1" customHeight="1" x14ac:dyDescent="1.95">
      <c r="A416" s="23">
        <f>'MODIFICAR CODIGOS '!A416</f>
        <v>0</v>
      </c>
      <c r="B416" s="271">
        <f>'MODIFICAR CODIGOS '!B416</f>
        <v>0</v>
      </c>
      <c r="C416" s="284">
        <f>'MODIFICAR CODIGOS '!C416</f>
        <v>0</v>
      </c>
      <c r="D416" s="23">
        <f>'MODIFICAR CODIGOS '!D416</f>
        <v>0</v>
      </c>
      <c r="E416" s="23">
        <f>'MODIFICAR CODIGOS '!E416</f>
        <v>1</v>
      </c>
      <c r="F416" s="220"/>
      <c r="G416" s="147"/>
      <c r="H416" s="147"/>
      <c r="I416" s="147"/>
      <c r="J416" s="147"/>
      <c r="K416" s="219"/>
      <c r="L416" s="220"/>
      <c r="M416" s="147"/>
      <c r="N416" s="147"/>
      <c r="O416" s="219"/>
      <c r="P416" s="143"/>
      <c r="Q416" s="147"/>
      <c r="R416" s="141"/>
      <c r="S416" s="220"/>
      <c r="T416" s="219"/>
      <c r="U416" s="359">
        <f t="shared" si="45"/>
        <v>0</v>
      </c>
      <c r="V416" s="365">
        <f t="shared" si="46"/>
        <v>0</v>
      </c>
      <c r="W416" s="366">
        <f t="shared" si="47"/>
        <v>0</v>
      </c>
      <c r="X416" s="362">
        <f t="shared" si="43"/>
        <v>0</v>
      </c>
      <c r="Y416" s="294">
        <f t="shared" ca="1" si="44"/>
        <v>46104</v>
      </c>
      <c r="Z416" s="375"/>
      <c r="AA416" s="249"/>
      <c r="AB416" s="391">
        <f t="shared" ca="1" si="48"/>
        <v>-46104</v>
      </c>
    </row>
    <row r="417" spans="1:28" ht="108" hidden="1" customHeight="1" x14ac:dyDescent="1.95">
      <c r="A417" s="23">
        <f>'MODIFICAR CODIGOS '!A417</f>
        <v>0</v>
      </c>
      <c r="B417" s="271">
        <f>'MODIFICAR CODIGOS '!B417</f>
        <v>0</v>
      </c>
      <c r="C417" s="284">
        <f>'MODIFICAR CODIGOS '!C417</f>
        <v>0</v>
      </c>
      <c r="D417" s="23">
        <f>'MODIFICAR CODIGOS '!D417</f>
        <v>0</v>
      </c>
      <c r="E417" s="23">
        <f>'MODIFICAR CODIGOS '!E417</f>
        <v>1</v>
      </c>
      <c r="F417" s="220"/>
      <c r="G417" s="147"/>
      <c r="H417" s="147"/>
      <c r="I417" s="147"/>
      <c r="J417" s="147"/>
      <c r="K417" s="219"/>
      <c r="L417" s="220"/>
      <c r="M417" s="147"/>
      <c r="N417" s="147"/>
      <c r="O417" s="219"/>
      <c r="P417" s="143"/>
      <c r="Q417" s="147"/>
      <c r="R417" s="141"/>
      <c r="S417" s="220"/>
      <c r="T417" s="219"/>
      <c r="U417" s="359">
        <f t="shared" si="45"/>
        <v>0</v>
      </c>
      <c r="V417" s="365">
        <f t="shared" si="46"/>
        <v>0</v>
      </c>
      <c r="W417" s="366">
        <f t="shared" si="47"/>
        <v>0</v>
      </c>
      <c r="X417" s="362">
        <f t="shared" si="43"/>
        <v>0</v>
      </c>
      <c r="Y417" s="294">
        <f t="shared" ca="1" si="44"/>
        <v>46104</v>
      </c>
      <c r="Z417" s="375"/>
      <c r="AA417" s="249"/>
      <c r="AB417" s="391">
        <f t="shared" ca="1" si="48"/>
        <v>-46104</v>
      </c>
    </row>
    <row r="418" spans="1:28" ht="108" customHeight="1" x14ac:dyDescent="1.95">
      <c r="A418" s="23">
        <f>'MODIFICAR CODIGOS '!A418</f>
        <v>56781</v>
      </c>
      <c r="B418" s="271" t="str">
        <f>'MODIFICAR CODIGOS '!B418</f>
        <v>6PACK QUATRO LATA 269ML</v>
      </c>
      <c r="C418" s="284">
        <f>'MODIFICAR CODIGOS '!C418</f>
        <v>0</v>
      </c>
      <c r="D418" s="23">
        <f>'MODIFICAR CODIGOS '!D418</f>
        <v>26</v>
      </c>
      <c r="E418" s="23">
        <f>'MODIFICAR CODIGOS '!E418</f>
        <v>6</v>
      </c>
      <c r="F418" s="220"/>
      <c r="G418" s="147"/>
      <c r="H418" s="147"/>
      <c r="I418" s="147"/>
      <c r="J418" s="147"/>
      <c r="K418" s="219"/>
      <c r="L418" s="220"/>
      <c r="M418" s="147"/>
      <c r="N418" s="147"/>
      <c r="O418" s="219"/>
      <c r="P418" s="143"/>
      <c r="Q418" s="147">
        <v>31</v>
      </c>
      <c r="R418" s="141"/>
      <c r="S418" s="220"/>
      <c r="T418" s="219"/>
      <c r="U418" s="359">
        <f t="shared" si="45"/>
        <v>31</v>
      </c>
      <c r="V418" s="365">
        <f t="shared" si="46"/>
        <v>31</v>
      </c>
      <c r="W418" s="366">
        <f t="shared" si="47"/>
        <v>0</v>
      </c>
      <c r="X418" s="362">
        <f t="shared" si="43"/>
        <v>31</v>
      </c>
      <c r="Y418" s="294">
        <f t="shared" ca="1" si="44"/>
        <v>46104</v>
      </c>
      <c r="Z418" s="375"/>
      <c r="AA418" s="249"/>
      <c r="AB418" s="391">
        <f t="shared" ca="1" si="48"/>
        <v>-46104</v>
      </c>
    </row>
    <row r="419" spans="1:28" ht="108" customHeight="1" x14ac:dyDescent="1.95">
      <c r="A419" s="23">
        <f>'MODIFICAR CODIGOS '!A419</f>
        <v>56751</v>
      </c>
      <c r="B419" s="271" t="str">
        <f>'MODIFICAR CODIGOS '!B419</f>
        <v>12PACK QUATRO LATA 269ML</v>
      </c>
      <c r="C419" s="284">
        <f>'MODIFICAR CODIGOS '!C419</f>
        <v>0</v>
      </c>
      <c r="D419" s="23">
        <f>'MODIFICAR CODIGOS '!D419</f>
        <v>22</v>
      </c>
      <c r="E419" s="23">
        <f>'MODIFICAR CODIGOS '!E419</f>
        <v>12</v>
      </c>
      <c r="F419" s="220"/>
      <c r="G419" s="147"/>
      <c r="H419" s="147"/>
      <c r="I419" s="147"/>
      <c r="J419" s="147"/>
      <c r="K419" s="219"/>
      <c r="L419" s="220"/>
      <c r="M419" s="147"/>
      <c r="N419" s="147"/>
      <c r="O419" s="219"/>
      <c r="P419" s="143"/>
      <c r="Q419" s="147">
        <v>19</v>
      </c>
      <c r="R419" s="141"/>
      <c r="S419" s="220"/>
      <c r="T419" s="219"/>
      <c r="U419" s="359">
        <f t="shared" si="45"/>
        <v>19</v>
      </c>
      <c r="V419" s="365">
        <f t="shared" si="46"/>
        <v>19</v>
      </c>
      <c r="W419" s="366">
        <f t="shared" si="47"/>
        <v>0</v>
      </c>
      <c r="X419" s="362">
        <f t="shared" si="43"/>
        <v>19</v>
      </c>
      <c r="Y419" s="294">
        <f t="shared" ca="1" si="44"/>
        <v>46104</v>
      </c>
      <c r="Z419" s="375"/>
      <c r="AA419" s="249"/>
      <c r="AB419" s="391">
        <f t="shared" ca="1" si="48"/>
        <v>-46104</v>
      </c>
    </row>
    <row r="420" spans="1:28" ht="108" customHeight="1" x14ac:dyDescent="1.95">
      <c r="A420" s="23">
        <f>'MODIFICAR CODIGOS '!A420</f>
        <v>136656</v>
      </c>
      <c r="B420" s="271" t="str">
        <f>'MODIFICAR CODIGOS '!B420</f>
        <v>6PACK Q4 CC2 LATA 269ML</v>
      </c>
      <c r="C420" s="284">
        <f>'MODIFICAR CODIGOS '!C420</f>
        <v>0</v>
      </c>
      <c r="D420" s="23">
        <f>'MODIFICAR CODIGOS '!D420</f>
        <v>26</v>
      </c>
      <c r="E420" s="23">
        <f>'MODIFICAR CODIGOS '!E420</f>
        <v>6</v>
      </c>
      <c r="F420" s="220"/>
      <c r="G420" s="147"/>
      <c r="H420" s="147"/>
      <c r="I420" s="147"/>
      <c r="J420" s="147"/>
      <c r="K420" s="219"/>
      <c r="L420" s="220"/>
      <c r="M420" s="147"/>
      <c r="N420" s="147"/>
      <c r="O420" s="219"/>
      <c r="P420" s="143"/>
      <c r="Q420" s="147"/>
      <c r="R420" s="141"/>
      <c r="S420" s="220"/>
      <c r="T420" s="219"/>
      <c r="U420" s="359">
        <f t="shared" si="45"/>
        <v>0</v>
      </c>
      <c r="V420" s="365">
        <f t="shared" si="46"/>
        <v>0</v>
      </c>
      <c r="W420" s="366">
        <f t="shared" si="47"/>
        <v>0</v>
      </c>
      <c r="X420" s="362">
        <f t="shared" si="43"/>
        <v>0</v>
      </c>
      <c r="Y420" s="294">
        <f t="shared" ca="1" si="44"/>
        <v>46104</v>
      </c>
      <c r="Z420" s="375"/>
      <c r="AA420" s="249"/>
      <c r="AB420" s="391">
        <f t="shared" ca="1" si="48"/>
        <v>-46104</v>
      </c>
    </row>
    <row r="421" spans="1:28" ht="108" customHeight="1" thickBot="1" x14ac:dyDescent="2">
      <c r="A421" s="23">
        <f>'MODIFICAR CODIGOS '!A421</f>
        <v>120025</v>
      </c>
      <c r="B421" s="23" t="str">
        <f>'MODIFICAR CODIGOS '!B421</f>
        <v>HIELOCO</v>
      </c>
      <c r="C421" s="23">
        <f>'MODIFICAR CODIGOS '!C421</f>
        <v>0</v>
      </c>
      <c r="D421" s="23">
        <f>'MODIFICAR CODIGOS '!D421</f>
        <v>50</v>
      </c>
      <c r="E421" s="23">
        <f>'MODIFICAR CODIGOS '!E421</f>
        <v>1</v>
      </c>
      <c r="F421" s="220"/>
      <c r="G421" s="147"/>
      <c r="H421" s="147"/>
      <c r="I421" s="147"/>
      <c r="J421" s="147"/>
      <c r="K421" s="219"/>
      <c r="L421" s="220"/>
      <c r="M421" s="147"/>
      <c r="N421" s="147"/>
      <c r="O421" s="219"/>
      <c r="P421" s="143"/>
      <c r="Q421" s="147"/>
      <c r="R421" s="141"/>
      <c r="S421" s="220"/>
      <c r="T421" s="219"/>
      <c r="U421" s="359">
        <f t="shared" si="45"/>
        <v>0</v>
      </c>
      <c r="V421" s="365">
        <f t="shared" si="46"/>
        <v>0</v>
      </c>
      <c r="W421" s="366">
        <f t="shared" si="47"/>
        <v>0</v>
      </c>
      <c r="X421" s="362">
        <f t="shared" ref="X421" si="49">V421+W421/E421</f>
        <v>0</v>
      </c>
      <c r="Y421" s="294">
        <f t="shared" ca="1" si="44"/>
        <v>46104</v>
      </c>
      <c r="Z421" s="375"/>
      <c r="AA421" s="249"/>
      <c r="AB421" s="391">
        <f t="shared" ca="1" si="48"/>
        <v>-46104</v>
      </c>
    </row>
    <row r="422" spans="1:28" ht="108" customHeight="1" thickBot="1" x14ac:dyDescent="2">
      <c r="A422" s="55" t="s">
        <v>0</v>
      </c>
      <c r="B422" s="263" t="s">
        <v>1</v>
      </c>
      <c r="C422" s="280" t="s">
        <v>114</v>
      </c>
      <c r="D422" s="57" t="s">
        <v>115</v>
      </c>
      <c r="E422" s="281" t="s">
        <v>406</v>
      </c>
      <c r="F422" s="399" t="s">
        <v>408</v>
      </c>
      <c r="G422" s="400"/>
      <c r="H422" s="400"/>
      <c r="I422" s="400"/>
      <c r="J422" s="400"/>
      <c r="K422" s="401"/>
      <c r="L422" s="402" t="s">
        <v>409</v>
      </c>
      <c r="M422" s="403"/>
      <c r="N422" s="403"/>
      <c r="O422" s="404"/>
      <c r="P422" s="405" t="s">
        <v>411</v>
      </c>
      <c r="Q422" s="405"/>
      <c r="R422" s="405"/>
      <c r="S422" s="402" t="s">
        <v>410</v>
      </c>
      <c r="T422" s="404"/>
      <c r="U422" s="358" t="s">
        <v>2</v>
      </c>
      <c r="V422" s="365" t="e">
        <f t="shared" si="46"/>
        <v>#VALUE!</v>
      </c>
      <c r="W422" s="366" t="e">
        <f t="shared" si="47"/>
        <v>#VALUE!</v>
      </c>
      <c r="X422" s="369" t="s">
        <v>478</v>
      </c>
      <c r="Y422" s="253" t="s">
        <v>412</v>
      </c>
      <c r="Z422" s="374"/>
      <c r="AA422" s="386" t="s">
        <v>413</v>
      </c>
      <c r="AB422" s="392" t="s">
        <v>479</v>
      </c>
    </row>
    <row r="423" spans="1:28" ht="108" customHeight="1" x14ac:dyDescent="1.95">
      <c r="A423" s="23">
        <f>'MODIFICAR CODIGOS '!A423</f>
        <v>136468</v>
      </c>
      <c r="B423" s="345" t="str">
        <f>'MODIFICAR CODIGOS '!B423</f>
        <v>HALLS 100S EXT STRONG COL 310GR KTI30(1)</v>
      </c>
      <c r="C423" s="23">
        <f>'MODIFICAR CODIGOS '!C423</f>
        <v>0</v>
      </c>
      <c r="D423" s="23">
        <f>'MODIFICAR CODIGOS '!D423</f>
        <v>30</v>
      </c>
      <c r="E423" s="23">
        <f>'MODIFICAR CODIGOS '!E423</f>
        <v>1</v>
      </c>
      <c r="F423" s="220"/>
      <c r="G423" s="147"/>
      <c r="H423" s="147"/>
      <c r="I423" s="147"/>
      <c r="J423" s="147"/>
      <c r="K423" s="219"/>
      <c r="L423" s="220"/>
      <c r="M423" s="147"/>
      <c r="N423" s="147"/>
      <c r="O423" s="147"/>
      <c r="P423" s="147"/>
      <c r="Q423" s="147">
        <v>45</v>
      </c>
      <c r="R423" s="147"/>
      <c r="S423" s="143"/>
      <c r="T423" s="219"/>
      <c r="U423" s="359">
        <f>(F423*C423+G423*C423+H423*C423+I423*C423+J423*C423+K423*C423+L423*D423+M423*D423+N423*D423+O423*D423+P423*1+Q423*1+R423*1+(TRUNC((S423+T423)/E423)))+(((S423+T423)/E423-TRUNC((S423+T423)/E423))*E423)/100</f>
        <v>45</v>
      </c>
      <c r="V423" s="365">
        <f t="shared" si="46"/>
        <v>45</v>
      </c>
      <c r="W423" s="366">
        <f t="shared" si="47"/>
        <v>0</v>
      </c>
      <c r="X423" s="362">
        <f t="shared" ref="X423:X451" si="50">V423+W423/E423</f>
        <v>45</v>
      </c>
      <c r="Y423" s="294">
        <f t="shared" ref="Y423:Y451" ca="1" si="51">TODAY()</f>
        <v>46104</v>
      </c>
      <c r="Z423" s="375"/>
      <c r="AA423" s="384"/>
      <c r="AB423" s="391">
        <f t="shared" ca="1" si="48"/>
        <v>-46104</v>
      </c>
    </row>
    <row r="424" spans="1:28" ht="108" customHeight="1" x14ac:dyDescent="1.95">
      <c r="A424" s="23">
        <f>'MODIFICAR CODIGOS '!A424</f>
        <v>136478</v>
      </c>
      <c r="B424" s="345" t="str">
        <f>'MODIFICAR CODIGOS '!B424</f>
        <v>CHAO MENTA 350GR KIT 24(1)</v>
      </c>
      <c r="C424" s="23">
        <f>'MODIFICAR CODIGOS '!C424</f>
        <v>0</v>
      </c>
      <c r="D424" s="23">
        <f>'MODIFICAR CODIGOS '!D424</f>
        <v>24</v>
      </c>
      <c r="E424" s="23">
        <f>'MODIFICAR CODIGOS '!E424</f>
        <v>1</v>
      </c>
      <c r="F424" s="220"/>
      <c r="G424" s="147"/>
      <c r="H424" s="147"/>
      <c r="I424" s="147"/>
      <c r="J424" s="147"/>
      <c r="K424" s="219"/>
      <c r="L424" s="220"/>
      <c r="M424" s="147"/>
      <c r="N424" s="147"/>
      <c r="O424" s="147"/>
      <c r="P424" s="147"/>
      <c r="Q424" s="147">
        <v>504</v>
      </c>
      <c r="R424" s="147">
        <v>15</v>
      </c>
      <c r="S424" s="143"/>
      <c r="T424" s="219"/>
      <c r="U424" s="359">
        <f t="shared" ref="U424:U451" si="52">(F424*C424+G424*C424+H424*C424+I424*C424+J424*C424+K424*C424+L424*D424+M424*D424+N424*D424+O424*D424+P424*1+Q424*1+R424*1+(TRUNC((S424+T424)/E424)))+(((S424+T424)/E424-TRUNC((S424+T424)/E424))*E424)/100</f>
        <v>519</v>
      </c>
      <c r="V424" s="365">
        <f t="shared" si="46"/>
        <v>519</v>
      </c>
      <c r="W424" s="366">
        <f t="shared" si="47"/>
        <v>0</v>
      </c>
      <c r="X424" s="362">
        <f t="shared" si="50"/>
        <v>519</v>
      </c>
      <c r="Y424" s="294">
        <f t="shared" ca="1" si="51"/>
        <v>46104</v>
      </c>
      <c r="Z424" s="375"/>
      <c r="AA424" s="384"/>
      <c r="AB424" s="391">
        <f t="shared" ca="1" si="48"/>
        <v>-46104</v>
      </c>
    </row>
    <row r="425" spans="1:28" ht="108" customHeight="1" x14ac:dyDescent="1.95">
      <c r="A425" s="23">
        <f>'MODIFICAR CODIGOS '!A425</f>
        <v>136479</v>
      </c>
      <c r="B425" s="345" t="str">
        <f>'MODIFICAR CODIGOS '!B425</f>
        <v>CHAO FRESA 350GR KIT 24(1)</v>
      </c>
      <c r="C425" s="23">
        <f>'MODIFICAR CODIGOS '!C425</f>
        <v>0</v>
      </c>
      <c r="D425" s="23">
        <f>'MODIFICAR CODIGOS '!D425</f>
        <v>24</v>
      </c>
      <c r="E425" s="23">
        <f>'MODIFICAR CODIGOS '!E425</f>
        <v>1</v>
      </c>
      <c r="F425" s="220"/>
      <c r="G425" s="147"/>
      <c r="H425" s="147"/>
      <c r="I425" s="147"/>
      <c r="J425" s="147"/>
      <c r="K425" s="219"/>
      <c r="L425" s="220"/>
      <c r="M425" s="147"/>
      <c r="N425" s="147"/>
      <c r="O425" s="147"/>
      <c r="P425" s="147"/>
      <c r="Q425" s="147">
        <v>19</v>
      </c>
      <c r="R425" s="147">
        <v>1920</v>
      </c>
      <c r="S425" s="143"/>
      <c r="T425" s="219"/>
      <c r="U425" s="359">
        <f t="shared" si="52"/>
        <v>1939</v>
      </c>
      <c r="V425" s="365">
        <f t="shared" si="46"/>
        <v>1939</v>
      </c>
      <c r="W425" s="366">
        <f t="shared" si="47"/>
        <v>0</v>
      </c>
      <c r="X425" s="362">
        <f t="shared" si="50"/>
        <v>1939</v>
      </c>
      <c r="Y425" s="294">
        <f t="shared" ca="1" si="51"/>
        <v>46104</v>
      </c>
      <c r="Z425" s="375"/>
      <c r="AA425" s="384"/>
      <c r="AB425" s="391">
        <f t="shared" ca="1" si="48"/>
        <v>-46104</v>
      </c>
    </row>
    <row r="426" spans="1:28" ht="108" customHeight="1" x14ac:dyDescent="1.95">
      <c r="A426" s="23">
        <f>'MODIFICAR CODIGOS '!A426</f>
        <v>136701</v>
      </c>
      <c r="B426" s="345" t="str">
        <f>'MODIFICAR CODIGOS '!B426</f>
        <v>BIANCHI CHOCOBLAN 460GR  KIT18(1)</v>
      </c>
      <c r="C426" s="23">
        <f>'MODIFICAR CODIGOS '!C426</f>
        <v>0</v>
      </c>
      <c r="D426" s="23">
        <f>'MODIFICAR CODIGOS '!D426</f>
        <v>18</v>
      </c>
      <c r="E426" s="23">
        <f>'MODIFICAR CODIGOS '!E426</f>
        <v>1</v>
      </c>
      <c r="F426" s="220"/>
      <c r="G426" s="147"/>
      <c r="H426" s="147"/>
      <c r="I426" s="147"/>
      <c r="J426" s="147"/>
      <c r="K426" s="219"/>
      <c r="L426" s="220"/>
      <c r="M426" s="147"/>
      <c r="N426" s="147"/>
      <c r="O426" s="147"/>
      <c r="P426" s="147"/>
      <c r="Q426" s="147">
        <v>39</v>
      </c>
      <c r="R426" s="147"/>
      <c r="S426" s="143"/>
      <c r="T426" s="219"/>
      <c r="U426" s="359">
        <f t="shared" si="52"/>
        <v>39</v>
      </c>
      <c r="V426" s="365">
        <f t="shared" si="46"/>
        <v>39</v>
      </c>
      <c r="W426" s="366">
        <f t="shared" si="47"/>
        <v>0</v>
      </c>
      <c r="X426" s="362">
        <f t="shared" si="50"/>
        <v>39</v>
      </c>
      <c r="Y426" s="294">
        <f t="shared" ca="1" si="51"/>
        <v>46104</v>
      </c>
      <c r="Z426" s="375"/>
      <c r="AA426" s="384"/>
      <c r="AB426" s="391">
        <f t="shared" ca="1" si="48"/>
        <v>-46104</v>
      </c>
    </row>
    <row r="427" spans="1:28" ht="108" customHeight="1" x14ac:dyDescent="1.95">
      <c r="A427" s="23">
        <f>'MODIFICAR CODIGOS '!A427</f>
        <v>136700</v>
      </c>
      <c r="B427" s="345" t="str">
        <f>'MODIFICAR CODIGOS '!B427</f>
        <v>BIANCHI CHOCOLATE 460GR KIT18(1)</v>
      </c>
      <c r="C427" s="23">
        <f>'MODIFICAR CODIGOS '!C427</f>
        <v>0</v>
      </c>
      <c r="D427" s="23">
        <f>'MODIFICAR CODIGOS '!D427</f>
        <v>18</v>
      </c>
      <c r="E427" s="23">
        <f>'MODIFICAR CODIGOS '!E427</f>
        <v>1</v>
      </c>
      <c r="F427" s="220"/>
      <c r="G427" s="147"/>
      <c r="H427" s="147"/>
      <c r="I427" s="147"/>
      <c r="J427" s="147"/>
      <c r="K427" s="219"/>
      <c r="L427" s="220"/>
      <c r="M427" s="147"/>
      <c r="N427" s="147"/>
      <c r="O427" s="147"/>
      <c r="P427" s="147"/>
      <c r="Q427" s="147">
        <v>126</v>
      </c>
      <c r="R427" s="147">
        <v>17</v>
      </c>
      <c r="S427" s="143"/>
      <c r="T427" s="219"/>
      <c r="U427" s="359">
        <f t="shared" si="52"/>
        <v>143</v>
      </c>
      <c r="V427" s="365">
        <f t="shared" si="46"/>
        <v>143</v>
      </c>
      <c r="W427" s="366">
        <f t="shared" si="47"/>
        <v>0</v>
      </c>
      <c r="X427" s="362">
        <f t="shared" si="50"/>
        <v>143</v>
      </c>
      <c r="Y427" s="294">
        <f t="shared" ca="1" si="51"/>
        <v>46104</v>
      </c>
      <c r="Z427" s="375"/>
      <c r="AA427" s="384"/>
      <c r="AB427" s="391">
        <f t="shared" ca="1" si="48"/>
        <v>-46104</v>
      </c>
    </row>
    <row r="428" spans="1:28" ht="108" customHeight="1" x14ac:dyDescent="1.95">
      <c r="A428" s="23">
        <f>'MODIFICAR CODIGOS '!A428</f>
        <v>136487</v>
      </c>
      <c r="B428" s="345" t="str">
        <f>'MODIFICAR CODIGOS '!B428</f>
        <v>LOKINO CARAMELO 400GR KIT24(1)</v>
      </c>
      <c r="C428" s="23">
        <f>'MODIFICAR CODIGOS '!C428</f>
        <v>0</v>
      </c>
      <c r="D428" s="23">
        <f>'MODIFICAR CODIGOS '!D428</f>
        <v>24</v>
      </c>
      <c r="E428" s="23">
        <f>'MODIFICAR CODIGOS '!E428</f>
        <v>1</v>
      </c>
      <c r="F428" s="220"/>
      <c r="G428" s="147"/>
      <c r="H428" s="147"/>
      <c r="I428" s="147"/>
      <c r="J428" s="147"/>
      <c r="K428" s="219"/>
      <c r="L428" s="220"/>
      <c r="M428" s="147"/>
      <c r="N428" s="147"/>
      <c r="O428" s="147"/>
      <c r="P428" s="147"/>
      <c r="Q428" s="147">
        <v>144</v>
      </c>
      <c r="R428" s="147">
        <v>19</v>
      </c>
      <c r="S428" s="143"/>
      <c r="T428" s="219"/>
      <c r="U428" s="359">
        <f t="shared" si="52"/>
        <v>163</v>
      </c>
      <c r="V428" s="365">
        <f t="shared" si="46"/>
        <v>163</v>
      </c>
      <c r="W428" s="366">
        <f t="shared" si="47"/>
        <v>0</v>
      </c>
      <c r="X428" s="362">
        <f t="shared" si="50"/>
        <v>163</v>
      </c>
      <c r="Y428" s="294">
        <f t="shared" ca="1" si="51"/>
        <v>46104</v>
      </c>
      <c r="Z428" s="375"/>
      <c r="AA428" s="384"/>
      <c r="AB428" s="391">
        <f t="shared" ca="1" si="48"/>
        <v>-46104</v>
      </c>
    </row>
    <row r="429" spans="1:28" ht="108" customHeight="1" x14ac:dyDescent="1.95">
      <c r="A429" s="23">
        <f>'MODIFICAR CODIGOS '!A429</f>
        <v>136712</v>
      </c>
      <c r="B429" s="345" t="str">
        <f>'MODIFICAR CODIGOS '!B429</f>
        <v>TRULU 70U MAS VENDID 1.6K KIT6(1)</v>
      </c>
      <c r="C429" s="23">
        <f>'MODIFICAR CODIGOS '!C429</f>
        <v>0</v>
      </c>
      <c r="D429" s="23">
        <f>'MODIFICAR CODIGOS '!D429</f>
        <v>21</v>
      </c>
      <c r="E429" s="23">
        <f>'MODIFICAR CODIGOS '!E429</f>
        <v>1</v>
      </c>
      <c r="F429" s="220"/>
      <c r="G429" s="147"/>
      <c r="H429" s="147"/>
      <c r="I429" s="147"/>
      <c r="J429" s="147"/>
      <c r="K429" s="219"/>
      <c r="L429" s="220"/>
      <c r="M429" s="147"/>
      <c r="N429" s="147"/>
      <c r="O429" s="147"/>
      <c r="P429" s="147"/>
      <c r="Q429" s="147">
        <v>607</v>
      </c>
      <c r="R429" s="147"/>
      <c r="S429" s="143"/>
      <c r="T429" s="219"/>
      <c r="U429" s="359">
        <f t="shared" si="52"/>
        <v>607</v>
      </c>
      <c r="V429" s="365">
        <f t="shared" si="46"/>
        <v>607</v>
      </c>
      <c r="W429" s="366">
        <f t="shared" si="47"/>
        <v>0</v>
      </c>
      <c r="X429" s="362">
        <f t="shared" si="50"/>
        <v>607</v>
      </c>
      <c r="Y429" s="294">
        <f t="shared" ca="1" si="51"/>
        <v>46104</v>
      </c>
      <c r="Z429" s="375"/>
      <c r="AA429" s="384"/>
      <c r="AB429" s="391">
        <f t="shared" ca="1" si="48"/>
        <v>-46104</v>
      </c>
    </row>
    <row r="430" spans="1:28" ht="108" hidden="1" customHeight="1" x14ac:dyDescent="1.95">
      <c r="A430" s="23">
        <f>'MODIFICAR CODIGOS '!A430</f>
        <v>0</v>
      </c>
      <c r="B430" s="345">
        <f>'MODIFICAR CODIGOS '!B430</f>
        <v>0</v>
      </c>
      <c r="C430" s="23">
        <f>'MODIFICAR CODIGOS '!C430</f>
        <v>0</v>
      </c>
      <c r="D430" s="23">
        <f>'MODIFICAR CODIGOS '!D430</f>
        <v>0</v>
      </c>
      <c r="E430" s="23">
        <f>'MODIFICAR CODIGOS '!E430</f>
        <v>1</v>
      </c>
      <c r="F430" s="220"/>
      <c r="G430" s="147"/>
      <c r="H430" s="147"/>
      <c r="I430" s="147"/>
      <c r="J430" s="147"/>
      <c r="K430" s="219"/>
      <c r="L430" s="220"/>
      <c r="M430" s="147"/>
      <c r="N430" s="147"/>
      <c r="O430" s="147"/>
      <c r="P430" s="147"/>
      <c r="Q430" s="147"/>
      <c r="R430" s="147"/>
      <c r="S430" s="143"/>
      <c r="T430" s="219"/>
      <c r="U430" s="359">
        <f t="shared" si="52"/>
        <v>0</v>
      </c>
      <c r="V430" s="365">
        <f t="shared" si="46"/>
        <v>0</v>
      </c>
      <c r="W430" s="366">
        <f t="shared" si="47"/>
        <v>0</v>
      </c>
      <c r="X430" s="362">
        <f t="shared" si="50"/>
        <v>0</v>
      </c>
      <c r="Y430" s="294">
        <f t="shared" ca="1" si="51"/>
        <v>46104</v>
      </c>
      <c r="Z430" s="375"/>
      <c r="AA430" s="384"/>
      <c r="AB430" s="391">
        <f t="shared" ca="1" si="48"/>
        <v>-46104</v>
      </c>
    </row>
    <row r="431" spans="1:28" ht="108" hidden="1" customHeight="1" x14ac:dyDescent="1.95">
      <c r="A431" s="23">
        <f>'MODIFICAR CODIGOS '!A431</f>
        <v>0</v>
      </c>
      <c r="B431" s="345">
        <f>'MODIFICAR CODIGOS '!B431</f>
        <v>0</v>
      </c>
      <c r="C431" s="23">
        <f>'MODIFICAR CODIGOS '!C431</f>
        <v>0</v>
      </c>
      <c r="D431" s="23">
        <f>'MODIFICAR CODIGOS '!D431</f>
        <v>0</v>
      </c>
      <c r="E431" s="23">
        <f>'MODIFICAR CODIGOS '!E431</f>
        <v>1</v>
      </c>
      <c r="F431" s="220"/>
      <c r="G431" s="147"/>
      <c r="H431" s="147"/>
      <c r="I431" s="147"/>
      <c r="J431" s="147"/>
      <c r="K431" s="219"/>
      <c r="L431" s="220"/>
      <c r="M431" s="147"/>
      <c r="N431" s="147"/>
      <c r="O431" s="147"/>
      <c r="P431" s="147"/>
      <c r="Q431" s="147"/>
      <c r="R431" s="147"/>
      <c r="S431" s="143"/>
      <c r="T431" s="219"/>
      <c r="U431" s="359">
        <f t="shared" si="52"/>
        <v>0</v>
      </c>
      <c r="V431" s="365">
        <f t="shared" si="46"/>
        <v>0</v>
      </c>
      <c r="W431" s="366">
        <f t="shared" si="47"/>
        <v>0</v>
      </c>
      <c r="X431" s="362">
        <f t="shared" si="50"/>
        <v>0</v>
      </c>
      <c r="Y431" s="294">
        <f t="shared" ca="1" si="51"/>
        <v>46104</v>
      </c>
      <c r="Z431" s="375"/>
      <c r="AA431" s="384"/>
      <c r="AB431" s="391">
        <f t="shared" ca="1" si="48"/>
        <v>-46104</v>
      </c>
    </row>
    <row r="432" spans="1:28" ht="108" hidden="1" customHeight="1" x14ac:dyDescent="1.95">
      <c r="A432" s="23">
        <f>'MODIFICAR CODIGOS '!A432</f>
        <v>0</v>
      </c>
      <c r="B432" s="345">
        <f>'MODIFICAR CODIGOS '!B432</f>
        <v>0</v>
      </c>
      <c r="C432" s="23">
        <f>'MODIFICAR CODIGOS '!C432</f>
        <v>0</v>
      </c>
      <c r="D432" s="23">
        <f>'MODIFICAR CODIGOS '!D432</f>
        <v>0</v>
      </c>
      <c r="E432" s="23">
        <f>'MODIFICAR CODIGOS '!E432</f>
        <v>1</v>
      </c>
      <c r="F432" s="220"/>
      <c r="G432" s="147"/>
      <c r="H432" s="147"/>
      <c r="I432" s="147"/>
      <c r="J432" s="147"/>
      <c r="K432" s="219"/>
      <c r="L432" s="220"/>
      <c r="M432" s="147"/>
      <c r="N432" s="147"/>
      <c r="O432" s="147"/>
      <c r="P432" s="147"/>
      <c r="Q432" s="147"/>
      <c r="R432" s="147"/>
      <c r="S432" s="143"/>
      <c r="T432" s="219"/>
      <c r="U432" s="359">
        <f t="shared" si="52"/>
        <v>0</v>
      </c>
      <c r="V432" s="365">
        <f t="shared" si="46"/>
        <v>0</v>
      </c>
      <c r="W432" s="366">
        <f t="shared" si="47"/>
        <v>0</v>
      </c>
      <c r="X432" s="362">
        <f t="shared" si="50"/>
        <v>0</v>
      </c>
      <c r="Y432" s="294">
        <f t="shared" ca="1" si="51"/>
        <v>46104</v>
      </c>
      <c r="Z432" s="375"/>
      <c r="AA432" s="384"/>
      <c r="AB432" s="391">
        <f t="shared" ca="1" si="48"/>
        <v>-46104</v>
      </c>
    </row>
    <row r="433" spans="1:28" ht="108" customHeight="1" x14ac:dyDescent="1.95">
      <c r="A433" s="23">
        <f>'MODIFICAR CODIGOS '!A433</f>
        <v>136475</v>
      </c>
      <c r="B433" s="345" t="str">
        <f>'MODIFICAR CODIGOS '!B433</f>
        <v>BARRILETE 440GR PAIS KIT18(1)</v>
      </c>
      <c r="C433" s="23">
        <f>'MODIFICAR CODIGOS '!C433</f>
        <v>0</v>
      </c>
      <c r="D433" s="23">
        <f>'MODIFICAR CODIGOS '!D433</f>
        <v>18</v>
      </c>
      <c r="E433" s="23">
        <f>'MODIFICAR CODIGOS '!E433</f>
        <v>1</v>
      </c>
      <c r="F433" s="220"/>
      <c r="G433" s="147"/>
      <c r="H433" s="147"/>
      <c r="I433" s="147"/>
      <c r="J433" s="147"/>
      <c r="K433" s="219"/>
      <c r="L433" s="220"/>
      <c r="M433" s="147"/>
      <c r="N433" s="147"/>
      <c r="O433" s="147"/>
      <c r="P433" s="147"/>
      <c r="Q433" s="147">
        <v>94</v>
      </c>
      <c r="R433" s="147"/>
      <c r="S433" s="143"/>
      <c r="T433" s="219"/>
      <c r="U433" s="359">
        <f t="shared" si="52"/>
        <v>94</v>
      </c>
      <c r="V433" s="365">
        <f t="shared" si="46"/>
        <v>94</v>
      </c>
      <c r="W433" s="366">
        <f t="shared" si="47"/>
        <v>0</v>
      </c>
      <c r="X433" s="362">
        <f t="shared" si="50"/>
        <v>94</v>
      </c>
      <c r="Y433" s="294">
        <f t="shared" ca="1" si="51"/>
        <v>46104</v>
      </c>
      <c r="Z433" s="375"/>
      <c r="AA433" s="384"/>
      <c r="AB433" s="391">
        <f t="shared" ca="1" si="48"/>
        <v>-46104</v>
      </c>
    </row>
    <row r="434" spans="1:28" ht="108" customHeight="1" x14ac:dyDescent="1.95">
      <c r="A434" s="23">
        <f>'MODIFICAR CODIGOS '!A434</f>
        <v>136675</v>
      </c>
      <c r="B434" s="345" t="str">
        <f>'MODIFICAR CODIGOS '!B434</f>
        <v>TRULULU SABOR SURT ACIDO 12U 360G KIT12(1)</v>
      </c>
      <c r="C434" s="23">
        <f>'MODIFICAR CODIGOS '!C434</f>
        <v>0</v>
      </c>
      <c r="D434" s="23">
        <f>'MODIFICAR CODIGOS '!D434</f>
        <v>12</v>
      </c>
      <c r="E434" s="23">
        <f>'MODIFICAR CODIGOS '!E434</f>
        <v>1</v>
      </c>
      <c r="F434" s="220"/>
      <c r="G434" s="147"/>
      <c r="H434" s="147"/>
      <c r="I434" s="147"/>
      <c r="J434" s="147"/>
      <c r="K434" s="219"/>
      <c r="L434" s="220"/>
      <c r="M434" s="147"/>
      <c r="N434" s="147"/>
      <c r="O434" s="147"/>
      <c r="P434" s="147"/>
      <c r="Q434" s="147">
        <v>65</v>
      </c>
      <c r="R434" s="147"/>
      <c r="S434" s="143"/>
      <c r="T434" s="219"/>
      <c r="U434" s="359">
        <f t="shared" si="52"/>
        <v>65</v>
      </c>
      <c r="V434" s="365">
        <f t="shared" si="46"/>
        <v>65</v>
      </c>
      <c r="W434" s="366">
        <f t="shared" si="47"/>
        <v>0</v>
      </c>
      <c r="X434" s="362">
        <f t="shared" si="50"/>
        <v>65</v>
      </c>
      <c r="Y434" s="294">
        <f t="shared" ca="1" si="51"/>
        <v>46104</v>
      </c>
      <c r="Z434" s="375"/>
      <c r="AA434" s="384"/>
      <c r="AB434" s="391">
        <f t="shared" ca="1" si="48"/>
        <v>-46104</v>
      </c>
    </row>
    <row r="435" spans="1:28" ht="108" customHeight="1" x14ac:dyDescent="1.95">
      <c r="A435" s="23">
        <f>'MODIFICAR CODIGOS '!A435</f>
        <v>136623</v>
      </c>
      <c r="B435" s="345" t="str">
        <f>'MODIFICAR CODIGOS '!B435</f>
        <v>TRIDENT EVUP MENTA31G KIT144(1)</v>
      </c>
      <c r="C435" s="23">
        <f>'MODIFICAR CODIGOS '!C435</f>
        <v>0</v>
      </c>
      <c r="D435" s="23">
        <f>'MODIFICAR CODIGOS '!D435</f>
        <v>12</v>
      </c>
      <c r="E435" s="23">
        <f>'MODIFICAR CODIGOS '!E435</f>
        <v>1</v>
      </c>
      <c r="F435" s="220"/>
      <c r="G435" s="147"/>
      <c r="H435" s="147"/>
      <c r="I435" s="147"/>
      <c r="J435" s="147"/>
      <c r="K435" s="219"/>
      <c r="L435" s="220"/>
      <c r="M435" s="147"/>
      <c r="N435" s="147"/>
      <c r="O435" s="147"/>
      <c r="P435" s="147"/>
      <c r="Q435" s="147"/>
      <c r="R435" s="147"/>
      <c r="S435" s="143"/>
      <c r="T435" s="219"/>
      <c r="U435" s="359">
        <f t="shared" si="52"/>
        <v>0</v>
      </c>
      <c r="V435" s="365">
        <f t="shared" si="46"/>
        <v>0</v>
      </c>
      <c r="W435" s="366">
        <f t="shared" si="47"/>
        <v>0</v>
      </c>
      <c r="X435" s="362">
        <f t="shared" si="50"/>
        <v>0</v>
      </c>
      <c r="Y435" s="294">
        <f t="shared" ca="1" si="51"/>
        <v>46104</v>
      </c>
      <c r="Z435" s="375"/>
      <c r="AA435" s="384"/>
      <c r="AB435" s="391">
        <f t="shared" ca="1" si="48"/>
        <v>-46104</v>
      </c>
    </row>
    <row r="436" spans="1:28" ht="108" hidden="1" customHeight="1" x14ac:dyDescent="1.95">
      <c r="A436" s="23">
        <f>'MODIFICAR CODIGOS '!A436</f>
        <v>0</v>
      </c>
      <c r="B436" s="345">
        <f>'MODIFICAR CODIGOS '!B436</f>
        <v>0</v>
      </c>
      <c r="C436" s="23">
        <f>'MODIFICAR CODIGOS '!C436</f>
        <v>0</v>
      </c>
      <c r="D436" s="23">
        <f>'MODIFICAR CODIGOS '!D436</f>
        <v>0</v>
      </c>
      <c r="E436" s="23">
        <f>'MODIFICAR CODIGOS '!E436</f>
        <v>1</v>
      </c>
      <c r="F436" s="220"/>
      <c r="G436" s="147"/>
      <c r="H436" s="147"/>
      <c r="I436" s="147"/>
      <c r="J436" s="147"/>
      <c r="K436" s="219"/>
      <c r="L436" s="220"/>
      <c r="M436" s="147"/>
      <c r="N436" s="147"/>
      <c r="O436" s="147"/>
      <c r="P436" s="147"/>
      <c r="Q436" s="147"/>
      <c r="R436" s="147"/>
      <c r="S436" s="143"/>
      <c r="T436" s="219"/>
      <c r="U436" s="359">
        <f t="shared" si="52"/>
        <v>0</v>
      </c>
      <c r="V436" s="365">
        <f t="shared" si="46"/>
        <v>0</v>
      </c>
      <c r="W436" s="366">
        <f t="shared" si="47"/>
        <v>0</v>
      </c>
      <c r="X436" s="362">
        <f t="shared" si="50"/>
        <v>0</v>
      </c>
      <c r="Y436" s="294">
        <f t="shared" ca="1" si="51"/>
        <v>46104</v>
      </c>
      <c r="Z436" s="375"/>
      <c r="AA436" s="384"/>
      <c r="AB436" s="391">
        <f t="shared" ca="1" si="48"/>
        <v>-46104</v>
      </c>
    </row>
    <row r="437" spans="1:28" ht="108" customHeight="1" x14ac:dyDescent="1.95">
      <c r="A437" s="23">
        <f>'MODIFICAR CODIGOS '!A437</f>
        <v>136466</v>
      </c>
      <c r="B437" s="345" t="str">
        <f>'MODIFICAR CODIGOS '!B437</f>
        <v>OREO ROLLO 109GR KIT30(1)</v>
      </c>
      <c r="C437" s="23">
        <f>'MODIFICAR CODIGOS '!C437</f>
        <v>0</v>
      </c>
      <c r="D437" s="23">
        <f>'MODIFICAR CODIGOS '!D437</f>
        <v>30</v>
      </c>
      <c r="E437" s="23">
        <f>'MODIFICAR CODIGOS '!E437</f>
        <v>1</v>
      </c>
      <c r="F437" s="220"/>
      <c r="G437" s="147"/>
      <c r="H437" s="147"/>
      <c r="I437" s="147"/>
      <c r="J437" s="147"/>
      <c r="K437" s="219"/>
      <c r="L437" s="220"/>
      <c r="M437" s="147"/>
      <c r="N437" s="147"/>
      <c r="O437" s="147"/>
      <c r="P437" s="147"/>
      <c r="Q437" s="147">
        <v>1980</v>
      </c>
      <c r="R437" s="147">
        <v>22</v>
      </c>
      <c r="S437" s="143"/>
      <c r="T437" s="219"/>
      <c r="U437" s="359">
        <f t="shared" si="52"/>
        <v>2002</v>
      </c>
      <c r="V437" s="365">
        <f t="shared" si="46"/>
        <v>2002</v>
      </c>
      <c r="W437" s="366">
        <f t="shared" si="47"/>
        <v>0</v>
      </c>
      <c r="X437" s="362">
        <f t="shared" si="50"/>
        <v>2002</v>
      </c>
      <c r="Y437" s="294">
        <f t="shared" ca="1" si="51"/>
        <v>46104</v>
      </c>
      <c r="Z437" s="375"/>
      <c r="AA437" s="384"/>
      <c r="AB437" s="391">
        <f t="shared" ca="1" si="48"/>
        <v>-46104</v>
      </c>
    </row>
    <row r="438" spans="1:28" ht="108" customHeight="1" x14ac:dyDescent="1.95">
      <c r="A438" s="23">
        <f>'MODIFICAR CODIGOS '!A438</f>
        <v>136467</v>
      </c>
      <c r="B438" s="345" t="str">
        <f>'MODIFICAR CODIGOS '!B438</f>
        <v>OREO REGULAR COL 324GR KIT18(1)</v>
      </c>
      <c r="C438" s="23">
        <f>'MODIFICAR CODIGOS '!C438</f>
        <v>0</v>
      </c>
      <c r="D438" s="23">
        <f>'MODIFICAR CODIGOS '!D438</f>
        <v>18</v>
      </c>
      <c r="E438" s="23">
        <f>'MODIFICAR CODIGOS '!E438</f>
        <v>1</v>
      </c>
      <c r="F438" s="220"/>
      <c r="G438" s="147"/>
      <c r="H438" s="147"/>
      <c r="I438" s="147"/>
      <c r="J438" s="147"/>
      <c r="K438" s="219"/>
      <c r="L438" s="220"/>
      <c r="M438" s="147"/>
      <c r="N438" s="147"/>
      <c r="O438" s="147"/>
      <c r="P438" s="147"/>
      <c r="Q438" s="147">
        <v>494</v>
      </c>
      <c r="R438" s="147">
        <v>8</v>
      </c>
      <c r="S438" s="143"/>
      <c r="T438" s="219"/>
      <c r="U438" s="359">
        <f t="shared" si="52"/>
        <v>502</v>
      </c>
      <c r="V438" s="365">
        <f t="shared" si="46"/>
        <v>502</v>
      </c>
      <c r="W438" s="366">
        <f t="shared" si="47"/>
        <v>0</v>
      </c>
      <c r="X438" s="362">
        <f t="shared" si="50"/>
        <v>502</v>
      </c>
      <c r="Y438" s="294">
        <f t="shared" ca="1" si="51"/>
        <v>46104</v>
      </c>
      <c r="Z438" s="375"/>
      <c r="AA438" s="384"/>
      <c r="AB438" s="391">
        <f t="shared" ca="1" si="48"/>
        <v>-46104</v>
      </c>
    </row>
    <row r="439" spans="1:28" ht="108" customHeight="1" x14ac:dyDescent="1.95">
      <c r="A439" s="23">
        <f>'MODIFICAR CODIGOS '!A439</f>
        <v>136020</v>
      </c>
      <c r="B439" s="345" t="str">
        <f>'MODIFICAR CODIGOS '!B439</f>
        <v>BOCADO ATUN ACEIT 140GR KIT 48(1)</v>
      </c>
      <c r="C439" s="23">
        <f>'MODIFICAR CODIGOS '!C439</f>
        <v>0</v>
      </c>
      <c r="D439" s="23">
        <f>'MODIFICAR CODIGOS '!D439</f>
        <v>48</v>
      </c>
      <c r="E439" s="23">
        <f>'MODIFICAR CODIGOS '!E439</f>
        <v>1</v>
      </c>
      <c r="F439" s="220"/>
      <c r="G439" s="147"/>
      <c r="H439" s="147"/>
      <c r="I439" s="147"/>
      <c r="J439" s="147"/>
      <c r="K439" s="219"/>
      <c r="L439" s="220"/>
      <c r="M439" s="147"/>
      <c r="N439" s="147"/>
      <c r="O439" s="147"/>
      <c r="P439" s="147">
        <v>43</v>
      </c>
      <c r="Q439" s="147">
        <v>96</v>
      </c>
      <c r="R439" s="147"/>
      <c r="S439" s="143"/>
      <c r="T439" s="219"/>
      <c r="U439" s="359">
        <f t="shared" si="52"/>
        <v>139</v>
      </c>
      <c r="V439" s="365">
        <f t="shared" si="46"/>
        <v>139</v>
      </c>
      <c r="W439" s="366">
        <f t="shared" si="47"/>
        <v>0</v>
      </c>
      <c r="X439" s="362">
        <f t="shared" si="50"/>
        <v>139</v>
      </c>
      <c r="Y439" s="294">
        <f t="shared" ca="1" si="51"/>
        <v>46104</v>
      </c>
      <c r="Z439" s="375"/>
      <c r="AA439" s="384"/>
      <c r="AB439" s="391">
        <f t="shared" ca="1" si="48"/>
        <v>-46104</v>
      </c>
    </row>
    <row r="440" spans="1:28" ht="108" customHeight="1" x14ac:dyDescent="1.95">
      <c r="A440" s="23">
        <f>'MODIFICAR CODIGOS '!A440</f>
        <v>136024</v>
      </c>
      <c r="B440" s="345" t="str">
        <f>'MODIFICAR CODIGOS '!B440</f>
        <v>ATUN RALL ACEITE 150GR KIT48(1)</v>
      </c>
      <c r="C440" s="23">
        <f>'MODIFICAR CODIGOS '!C440</f>
        <v>0</v>
      </c>
      <c r="D440" s="23">
        <f>'MODIFICAR CODIGOS '!D440</f>
        <v>48</v>
      </c>
      <c r="E440" s="23">
        <f>'MODIFICAR CODIGOS '!E440</f>
        <v>1</v>
      </c>
      <c r="F440" s="220"/>
      <c r="G440" s="147"/>
      <c r="H440" s="147"/>
      <c r="I440" s="147"/>
      <c r="J440" s="147"/>
      <c r="K440" s="219"/>
      <c r="L440" s="220"/>
      <c r="M440" s="147"/>
      <c r="N440" s="147"/>
      <c r="O440" s="147"/>
      <c r="P440" s="147"/>
      <c r="Q440" s="147"/>
      <c r="R440" s="147"/>
      <c r="S440" s="143"/>
      <c r="T440" s="219"/>
      <c r="U440" s="359">
        <f t="shared" si="52"/>
        <v>0</v>
      </c>
      <c r="V440" s="365">
        <f t="shared" si="46"/>
        <v>0</v>
      </c>
      <c r="W440" s="366">
        <f t="shared" si="47"/>
        <v>0</v>
      </c>
      <c r="X440" s="362">
        <f t="shared" si="50"/>
        <v>0</v>
      </c>
      <c r="Y440" s="294">
        <f t="shared" ca="1" si="51"/>
        <v>46104</v>
      </c>
      <c r="Z440" s="375"/>
      <c r="AA440" s="384"/>
      <c r="AB440" s="391">
        <f t="shared" ca="1" si="48"/>
        <v>-46104</v>
      </c>
    </row>
    <row r="441" spans="1:28" ht="108" customHeight="1" x14ac:dyDescent="1.95">
      <c r="A441" s="23">
        <f>'MODIFICAR CODIGOS '!A441</f>
        <v>136027</v>
      </c>
      <c r="B441" s="345" t="str">
        <f>'MODIFICAR CODIGOS '!B441</f>
        <v>BOCADO ATUN AGUA 140GR KIT48(1)</v>
      </c>
      <c r="C441" s="23">
        <f>'MODIFICAR CODIGOS '!C441</f>
        <v>0</v>
      </c>
      <c r="D441" s="23">
        <f>'MODIFICAR CODIGOS '!D441</f>
        <v>48</v>
      </c>
      <c r="E441" s="23">
        <f>'MODIFICAR CODIGOS '!E441</f>
        <v>1</v>
      </c>
      <c r="F441" s="220"/>
      <c r="G441" s="147"/>
      <c r="H441" s="147"/>
      <c r="I441" s="147"/>
      <c r="J441" s="147"/>
      <c r="K441" s="219"/>
      <c r="L441" s="220"/>
      <c r="M441" s="147"/>
      <c r="N441" s="147"/>
      <c r="O441" s="147"/>
      <c r="P441" s="147">
        <v>106</v>
      </c>
      <c r="Q441" s="147"/>
      <c r="R441" s="147"/>
      <c r="S441" s="143"/>
      <c r="T441" s="219"/>
      <c r="U441" s="359">
        <f t="shared" si="52"/>
        <v>106</v>
      </c>
      <c r="V441" s="365">
        <f t="shared" si="46"/>
        <v>106</v>
      </c>
      <c r="W441" s="366">
        <f t="shared" si="47"/>
        <v>0</v>
      </c>
      <c r="X441" s="362">
        <f t="shared" si="50"/>
        <v>106</v>
      </c>
      <c r="Y441" s="294">
        <f t="shared" ca="1" si="51"/>
        <v>46104</v>
      </c>
      <c r="Z441" s="375"/>
      <c r="AA441" s="384"/>
      <c r="AB441" s="391">
        <f t="shared" ca="1" si="48"/>
        <v>-46104</v>
      </c>
    </row>
    <row r="442" spans="1:28" ht="108" hidden="1" customHeight="1" x14ac:dyDescent="1.95">
      <c r="A442" s="23">
        <f>'MODIFICAR CODIGOS '!A442</f>
        <v>0</v>
      </c>
      <c r="B442" s="345">
        <f>'MODIFICAR CODIGOS '!B442</f>
        <v>0</v>
      </c>
      <c r="C442" s="23">
        <f>'MODIFICAR CODIGOS '!C442</f>
        <v>0</v>
      </c>
      <c r="D442" s="23">
        <f>'MODIFICAR CODIGOS '!D442</f>
        <v>0</v>
      </c>
      <c r="E442" s="23">
        <f>'MODIFICAR CODIGOS '!E442</f>
        <v>1</v>
      </c>
      <c r="F442" s="220"/>
      <c r="G442" s="147"/>
      <c r="H442" s="147"/>
      <c r="I442" s="147"/>
      <c r="J442" s="147"/>
      <c r="K442" s="219"/>
      <c r="L442" s="220"/>
      <c r="M442" s="147"/>
      <c r="N442" s="147"/>
      <c r="O442" s="147"/>
      <c r="P442" s="147"/>
      <c r="Q442" s="147"/>
      <c r="R442" s="147"/>
      <c r="S442" s="143"/>
      <c r="T442" s="219"/>
      <c r="U442" s="359">
        <f t="shared" si="52"/>
        <v>0</v>
      </c>
      <c r="V442" s="365">
        <f t="shared" si="46"/>
        <v>0</v>
      </c>
      <c r="W442" s="366">
        <f t="shared" si="47"/>
        <v>0</v>
      </c>
      <c r="X442" s="362">
        <f t="shared" si="50"/>
        <v>0</v>
      </c>
      <c r="Y442" s="294">
        <f t="shared" ca="1" si="51"/>
        <v>46104</v>
      </c>
      <c r="Z442" s="375"/>
      <c r="AA442" s="384"/>
      <c r="AB442" s="391">
        <f t="shared" ca="1" si="48"/>
        <v>-46104</v>
      </c>
    </row>
    <row r="443" spans="1:28" ht="108" customHeight="1" x14ac:dyDescent="1.95">
      <c r="A443" s="23">
        <f>'MODIFICAR CODIGOS '!A443</f>
        <v>136461</v>
      </c>
      <c r="B443" s="345" t="str">
        <f>'MODIFICAR CODIGOS '!B443</f>
        <v>ZUCARITAS MEGA 115G KIT54(1)</v>
      </c>
      <c r="C443" s="23">
        <f>'MODIFICAR CODIGOS '!C443</f>
        <v>0</v>
      </c>
      <c r="D443" s="23">
        <f>'MODIFICAR CODIGOS '!D443</f>
        <v>54</v>
      </c>
      <c r="E443" s="23">
        <f>'MODIFICAR CODIGOS '!E443</f>
        <v>1</v>
      </c>
      <c r="F443" s="220"/>
      <c r="G443" s="147"/>
      <c r="H443" s="147"/>
      <c r="I443" s="147"/>
      <c r="J443" s="147"/>
      <c r="K443" s="219"/>
      <c r="L443" s="220"/>
      <c r="M443" s="147"/>
      <c r="N443" s="147"/>
      <c r="O443" s="147"/>
      <c r="P443" s="147"/>
      <c r="Q443" s="147"/>
      <c r="R443" s="147"/>
      <c r="S443" s="143"/>
      <c r="T443" s="219"/>
      <c r="U443" s="359">
        <f t="shared" si="52"/>
        <v>0</v>
      </c>
      <c r="V443" s="365">
        <f t="shared" si="46"/>
        <v>0</v>
      </c>
      <c r="W443" s="366">
        <f t="shared" si="47"/>
        <v>0</v>
      </c>
      <c r="X443" s="362">
        <f t="shared" si="50"/>
        <v>0</v>
      </c>
      <c r="Y443" s="294">
        <f t="shared" ca="1" si="51"/>
        <v>46104</v>
      </c>
      <c r="Z443" s="375"/>
      <c r="AA443" s="384"/>
      <c r="AB443" s="391">
        <f t="shared" ca="1" si="48"/>
        <v>-46104</v>
      </c>
    </row>
    <row r="444" spans="1:28" ht="108" customHeight="1" x14ac:dyDescent="1.95">
      <c r="A444" s="23">
        <f>'MODIFICAR CODIGOS '!A444</f>
        <v>136462</v>
      </c>
      <c r="B444" s="345" t="str">
        <f>'MODIFICAR CODIGOS '!B444</f>
        <v>CHOKRISPIS MEGA 115G KIT54(1)</v>
      </c>
      <c r="C444" s="23">
        <f>'MODIFICAR CODIGOS '!C444</f>
        <v>0</v>
      </c>
      <c r="D444" s="23">
        <f>'MODIFICAR CODIGOS '!D444</f>
        <v>54</v>
      </c>
      <c r="E444" s="23">
        <f>'MODIFICAR CODIGOS '!E444</f>
        <v>1</v>
      </c>
      <c r="F444" s="220"/>
      <c r="G444" s="147"/>
      <c r="H444" s="147"/>
      <c r="I444" s="147"/>
      <c r="J444" s="147"/>
      <c r="K444" s="219"/>
      <c r="L444" s="220"/>
      <c r="M444" s="147"/>
      <c r="N444" s="147"/>
      <c r="O444" s="147"/>
      <c r="P444" s="147"/>
      <c r="Q444" s="147"/>
      <c r="R444" s="147"/>
      <c r="S444" s="143"/>
      <c r="T444" s="219"/>
      <c r="U444" s="359">
        <f t="shared" si="52"/>
        <v>0</v>
      </c>
      <c r="V444" s="365">
        <f t="shared" si="46"/>
        <v>0</v>
      </c>
      <c r="W444" s="366">
        <f t="shared" si="47"/>
        <v>0</v>
      </c>
      <c r="X444" s="362">
        <f t="shared" si="50"/>
        <v>0</v>
      </c>
      <c r="Y444" s="294">
        <f t="shared" ca="1" si="51"/>
        <v>46104</v>
      </c>
      <c r="Z444" s="375"/>
      <c r="AA444" s="384"/>
      <c r="AB444" s="391">
        <f t="shared" ca="1" si="48"/>
        <v>-46104</v>
      </c>
    </row>
    <row r="445" spans="1:28" ht="108" customHeight="1" x14ac:dyDescent="1.95">
      <c r="A445" s="23">
        <f>'MODIFICAR CODIGOS '!A445</f>
        <v>136465</v>
      </c>
      <c r="B445" s="345" t="str">
        <f>'MODIFICAR CODIGOS '!B445</f>
        <v>FROOT LOOPS MEGA 90GR KIT54(1)</v>
      </c>
      <c r="C445" s="23">
        <f>'MODIFICAR CODIGOS '!C445</f>
        <v>0</v>
      </c>
      <c r="D445" s="23">
        <f>'MODIFICAR CODIGOS '!D445</f>
        <v>54</v>
      </c>
      <c r="E445" s="23">
        <f>'MODIFICAR CODIGOS '!E445</f>
        <v>1</v>
      </c>
      <c r="F445" s="220"/>
      <c r="G445" s="147"/>
      <c r="H445" s="147"/>
      <c r="I445" s="147"/>
      <c r="J445" s="147"/>
      <c r="K445" s="219"/>
      <c r="L445" s="220"/>
      <c r="M445" s="147"/>
      <c r="N445" s="147"/>
      <c r="O445" s="147"/>
      <c r="P445" s="147"/>
      <c r="Q445" s="147"/>
      <c r="R445" s="147"/>
      <c r="S445" s="143"/>
      <c r="T445" s="219"/>
      <c r="U445" s="359">
        <f t="shared" si="52"/>
        <v>0</v>
      </c>
      <c r="V445" s="365">
        <f t="shared" si="46"/>
        <v>0</v>
      </c>
      <c r="W445" s="366">
        <f t="shared" si="47"/>
        <v>0</v>
      </c>
      <c r="X445" s="362">
        <f t="shared" si="50"/>
        <v>0</v>
      </c>
      <c r="Y445" s="294">
        <f t="shared" ca="1" si="51"/>
        <v>46104</v>
      </c>
      <c r="Z445" s="375"/>
      <c r="AA445" s="384"/>
      <c r="AB445" s="391">
        <f t="shared" ca="1" si="48"/>
        <v>-46104</v>
      </c>
    </row>
    <row r="446" spans="1:28" ht="108" customHeight="1" x14ac:dyDescent="1.95">
      <c r="A446" s="23">
        <f>'MODIFICAR CODIGOS '!A446</f>
        <v>136559</v>
      </c>
      <c r="B446" s="345" t="str">
        <f>'MODIFICAR CODIGOS '!B446</f>
        <v>ZUCARITAS 240GR KIT30(1)</v>
      </c>
      <c r="C446" s="23">
        <f>'MODIFICAR CODIGOS '!C446</f>
        <v>0</v>
      </c>
      <c r="D446" s="23">
        <f>'MODIFICAR CODIGOS '!D446</f>
        <v>30</v>
      </c>
      <c r="E446" s="23">
        <f>'MODIFICAR CODIGOS '!E446</f>
        <v>1</v>
      </c>
      <c r="F446" s="220"/>
      <c r="G446" s="147"/>
      <c r="H446" s="147"/>
      <c r="I446" s="147"/>
      <c r="J446" s="147"/>
      <c r="K446" s="219"/>
      <c r="L446" s="220"/>
      <c r="M446" s="147"/>
      <c r="N446" s="147"/>
      <c r="O446" s="147"/>
      <c r="P446" s="147">
        <v>158</v>
      </c>
      <c r="Q446" s="147"/>
      <c r="R446" s="147"/>
      <c r="S446" s="143"/>
      <c r="T446" s="219"/>
      <c r="U446" s="359">
        <f t="shared" si="52"/>
        <v>158</v>
      </c>
      <c r="V446" s="365">
        <f t="shared" si="46"/>
        <v>158</v>
      </c>
      <c r="W446" s="366">
        <f t="shared" si="47"/>
        <v>0</v>
      </c>
      <c r="X446" s="362">
        <f t="shared" si="50"/>
        <v>158</v>
      </c>
      <c r="Y446" s="294">
        <f t="shared" ca="1" si="51"/>
        <v>46104</v>
      </c>
      <c r="Z446" s="375"/>
      <c r="AA446" s="384"/>
      <c r="AB446" s="391">
        <f t="shared" ca="1" si="48"/>
        <v>-46104</v>
      </c>
    </row>
    <row r="447" spans="1:28" ht="108" customHeight="1" x14ac:dyDescent="1.95">
      <c r="A447" s="23">
        <f>'MODIFICAR CODIGOS '!A447</f>
        <v>136560</v>
      </c>
      <c r="B447" s="345" t="str">
        <f>'MODIFICAR CODIGOS '!B447</f>
        <v>CHOCO KRISPIS 240GR KIT30(1)</v>
      </c>
      <c r="C447" s="23">
        <f>'MODIFICAR CODIGOS '!C447</f>
        <v>0</v>
      </c>
      <c r="D447" s="23">
        <f>'MODIFICAR CODIGOS '!D447</f>
        <v>30</v>
      </c>
      <c r="E447" s="23">
        <f>'MODIFICAR CODIGOS '!E447</f>
        <v>1</v>
      </c>
      <c r="F447" s="220"/>
      <c r="G447" s="147"/>
      <c r="H447" s="147"/>
      <c r="I447" s="147"/>
      <c r="J447" s="147"/>
      <c r="K447" s="219"/>
      <c r="L447" s="220"/>
      <c r="M447" s="147"/>
      <c r="N447" s="147"/>
      <c r="O447" s="147"/>
      <c r="P447" s="147">
        <v>31</v>
      </c>
      <c r="Q447" s="147"/>
      <c r="R447" s="147"/>
      <c r="S447" s="143"/>
      <c r="T447" s="219"/>
      <c r="U447" s="359">
        <f t="shared" si="52"/>
        <v>31</v>
      </c>
      <c r="V447" s="365">
        <f t="shared" si="46"/>
        <v>31</v>
      </c>
      <c r="W447" s="366">
        <f t="shared" si="47"/>
        <v>0</v>
      </c>
      <c r="X447" s="362">
        <f t="shared" si="50"/>
        <v>31</v>
      </c>
      <c r="Y447" s="294">
        <f t="shared" ca="1" si="51"/>
        <v>46104</v>
      </c>
      <c r="Z447" s="375"/>
      <c r="AA447" s="384"/>
      <c r="AB447" s="391">
        <f t="shared" ca="1" si="48"/>
        <v>-46104</v>
      </c>
    </row>
    <row r="448" spans="1:28" ht="108" customHeight="1" x14ac:dyDescent="1.95">
      <c r="A448" s="23">
        <f>'MODIFICAR CODIGOS '!A448</f>
        <v>136561</v>
      </c>
      <c r="B448" s="345" t="str">
        <f>'MODIFICAR CODIGOS '!B448</f>
        <v>FROOT LOOPS 200GR KIT30(1)</v>
      </c>
      <c r="C448" s="23">
        <f>'MODIFICAR CODIGOS '!C448</f>
        <v>0</v>
      </c>
      <c r="D448" s="23">
        <f>'MODIFICAR CODIGOS '!D448</f>
        <v>30</v>
      </c>
      <c r="E448" s="23">
        <f>'MODIFICAR CODIGOS '!E448</f>
        <v>1</v>
      </c>
      <c r="F448" s="220"/>
      <c r="G448" s="147"/>
      <c r="H448" s="147"/>
      <c r="I448" s="147"/>
      <c r="J448" s="147"/>
      <c r="K448" s="219"/>
      <c r="L448" s="220"/>
      <c r="M448" s="147"/>
      <c r="N448" s="147"/>
      <c r="O448" s="147"/>
      <c r="P448" s="147">
        <v>67</v>
      </c>
      <c r="Q448" s="147"/>
      <c r="R448" s="147"/>
      <c r="S448" s="143"/>
      <c r="T448" s="219"/>
      <c r="U448" s="359">
        <f t="shared" si="52"/>
        <v>67</v>
      </c>
      <c r="V448" s="365">
        <f t="shared" si="46"/>
        <v>67</v>
      </c>
      <c r="W448" s="366">
        <f t="shared" si="47"/>
        <v>0</v>
      </c>
      <c r="X448" s="362">
        <f t="shared" si="50"/>
        <v>67</v>
      </c>
      <c r="Y448" s="294">
        <f t="shared" ca="1" si="51"/>
        <v>46104</v>
      </c>
      <c r="Z448" s="375"/>
      <c r="AA448" s="384"/>
      <c r="AB448" s="391">
        <f t="shared" ca="1" si="48"/>
        <v>-46104</v>
      </c>
    </row>
    <row r="449" spans="1:28" ht="108" customHeight="1" x14ac:dyDescent="1.95">
      <c r="A449" s="23">
        <f>'MODIFICAR CODIGOS '!A449</f>
        <v>136622</v>
      </c>
      <c r="B449" s="345" t="str">
        <f>'MODIFICAR CODIGOS '!B449</f>
        <v>CHOCOLORES SURT 540G KIT12(1)</v>
      </c>
      <c r="C449" s="23">
        <f>'MODIFICAR CODIGOS '!C449</f>
        <v>0</v>
      </c>
      <c r="D449" s="23">
        <f>'MODIFICAR CODIGOS '!D449</f>
        <v>12</v>
      </c>
      <c r="E449" s="23">
        <f>'MODIFICAR CODIGOS '!E449</f>
        <v>1</v>
      </c>
      <c r="F449" s="220"/>
      <c r="G449" s="147"/>
      <c r="H449" s="147"/>
      <c r="I449" s="147"/>
      <c r="J449" s="147"/>
      <c r="K449" s="219"/>
      <c r="L449" s="220"/>
      <c r="M449" s="147"/>
      <c r="N449" s="147"/>
      <c r="O449" s="147"/>
      <c r="P449" s="147">
        <v>216</v>
      </c>
      <c r="Q449" s="147">
        <v>6</v>
      </c>
      <c r="R449" s="147"/>
      <c r="S449" s="143"/>
      <c r="T449" s="219"/>
      <c r="U449" s="359">
        <f t="shared" si="52"/>
        <v>222</v>
      </c>
      <c r="V449" s="365">
        <f t="shared" si="46"/>
        <v>222</v>
      </c>
      <c r="W449" s="366">
        <f t="shared" si="47"/>
        <v>0</v>
      </c>
      <c r="X449" s="362">
        <f t="shared" si="50"/>
        <v>222</v>
      </c>
      <c r="Y449" s="294">
        <f t="shared" ca="1" si="51"/>
        <v>46104</v>
      </c>
      <c r="Z449" s="375"/>
      <c r="AA449" s="384"/>
      <c r="AB449" s="391">
        <f t="shared" ca="1" si="48"/>
        <v>-46104</v>
      </c>
    </row>
    <row r="450" spans="1:28" ht="108" hidden="1" customHeight="1" x14ac:dyDescent="1.95">
      <c r="A450" s="23">
        <f>'MODIFICAR CODIGOS '!A450</f>
        <v>0</v>
      </c>
      <c r="B450" s="345">
        <f>'MODIFICAR CODIGOS '!B450</f>
        <v>0</v>
      </c>
      <c r="C450" s="23">
        <f>'MODIFICAR CODIGOS '!C450</f>
        <v>0</v>
      </c>
      <c r="D450" s="23">
        <f>'MODIFICAR CODIGOS '!D450</f>
        <v>0</v>
      </c>
      <c r="E450" s="23">
        <f>'MODIFICAR CODIGOS '!E450</f>
        <v>1</v>
      </c>
      <c r="F450" s="220"/>
      <c r="G450" s="147"/>
      <c r="H450" s="147"/>
      <c r="I450" s="147"/>
      <c r="J450" s="147"/>
      <c r="K450" s="219"/>
      <c r="L450" s="220"/>
      <c r="M450" s="147"/>
      <c r="N450" s="147"/>
      <c r="O450" s="147"/>
      <c r="P450" s="147"/>
      <c r="Q450" s="147"/>
      <c r="R450" s="147"/>
      <c r="S450" s="143"/>
      <c r="T450" s="219"/>
      <c r="U450" s="359">
        <f t="shared" si="52"/>
        <v>0</v>
      </c>
      <c r="V450" s="365">
        <f t="shared" si="46"/>
        <v>0</v>
      </c>
      <c r="W450" s="366">
        <f t="shared" si="47"/>
        <v>0</v>
      </c>
      <c r="X450" s="362">
        <f t="shared" si="50"/>
        <v>0</v>
      </c>
      <c r="Y450" s="294">
        <f t="shared" ca="1" si="51"/>
        <v>46104</v>
      </c>
      <c r="Z450" s="375"/>
      <c r="AA450" s="384"/>
      <c r="AB450" s="391">
        <f t="shared" ca="1" si="48"/>
        <v>-46104</v>
      </c>
    </row>
    <row r="451" spans="1:28" ht="108" customHeight="1" thickBot="1" x14ac:dyDescent="2">
      <c r="A451" s="23">
        <f>'MODIFICAR CODIGOS '!A451</f>
        <v>136474</v>
      </c>
      <c r="B451" s="345" t="str">
        <f>'MODIFICAR CODIGOS '!B451</f>
        <v>ATUN ISABEL ACEI 142G KIT48(1)</v>
      </c>
      <c r="C451" s="23">
        <f>'MODIFICAR CODIGOS '!C451</f>
        <v>0</v>
      </c>
      <c r="D451" s="23">
        <f>'MODIFICAR CODIGOS '!D451</f>
        <v>48</v>
      </c>
      <c r="E451" s="23">
        <f>'MODIFICAR CODIGOS '!E451</f>
        <v>1</v>
      </c>
      <c r="F451" s="220"/>
      <c r="G451" s="147"/>
      <c r="H451" s="147"/>
      <c r="I451" s="147"/>
      <c r="J451" s="147"/>
      <c r="K451" s="219"/>
      <c r="L451" s="220"/>
      <c r="M451" s="147"/>
      <c r="N451" s="147"/>
      <c r="O451" s="147"/>
      <c r="P451" s="147">
        <v>8</v>
      </c>
      <c r="Q451" s="147">
        <v>576</v>
      </c>
      <c r="R451" s="147"/>
      <c r="S451" s="143"/>
      <c r="T451" s="219"/>
      <c r="U451" s="359">
        <f t="shared" si="52"/>
        <v>584</v>
      </c>
      <c r="V451" s="365">
        <f t="shared" ref="V451:V489" si="53">(F451*C451+G451*C451+H451*C451+I451*C451+J451*C451+K451*C451+L451*D451+M451*D451+N451*D451+O451*D451+P451*1+Q451*1+R451*1+(TRUNC((S451+T451)/E451)))</f>
        <v>584</v>
      </c>
      <c r="W451" s="366">
        <f t="shared" ref="W451:W489" si="54">(((S451+T451)/E451-TRUNC((S451+T451)/E451))*E451)</f>
        <v>0</v>
      </c>
      <c r="X451" s="362">
        <f t="shared" si="50"/>
        <v>584</v>
      </c>
      <c r="Y451" s="294">
        <f t="shared" ca="1" si="51"/>
        <v>46104</v>
      </c>
      <c r="Z451" s="375"/>
      <c r="AA451" s="384"/>
      <c r="AB451" s="391">
        <f t="shared" ca="1" si="48"/>
        <v>-46104</v>
      </c>
    </row>
    <row r="452" spans="1:28" ht="133.5" customHeight="1" thickBot="1" x14ac:dyDescent="2">
      <c r="A452" s="335" t="s">
        <v>0</v>
      </c>
      <c r="B452" s="272" t="s">
        <v>404</v>
      </c>
      <c r="C452" s="280" t="s">
        <v>114</v>
      </c>
      <c r="D452" s="57" t="s">
        <v>115</v>
      </c>
      <c r="E452" s="281" t="s">
        <v>406</v>
      </c>
      <c r="F452" s="399" t="s">
        <v>408</v>
      </c>
      <c r="G452" s="400"/>
      <c r="H452" s="400"/>
      <c r="I452" s="400"/>
      <c r="J452" s="400"/>
      <c r="K452" s="401"/>
      <c r="L452" s="402" t="s">
        <v>409</v>
      </c>
      <c r="M452" s="403"/>
      <c r="N452" s="403"/>
      <c r="O452" s="404"/>
      <c r="P452" s="405" t="s">
        <v>411</v>
      </c>
      <c r="Q452" s="405"/>
      <c r="R452" s="405"/>
      <c r="S452" s="402" t="s">
        <v>410</v>
      </c>
      <c r="T452" s="404"/>
      <c r="U452" s="358" t="s">
        <v>2</v>
      </c>
      <c r="V452" s="365" t="e">
        <f t="shared" si="53"/>
        <v>#VALUE!</v>
      </c>
      <c r="W452" s="366" t="e">
        <f t="shared" si="54"/>
        <v>#VALUE!</v>
      </c>
      <c r="X452" s="369" t="s">
        <v>478</v>
      </c>
      <c r="Y452" s="253" t="s">
        <v>412</v>
      </c>
      <c r="Z452" s="374"/>
      <c r="AA452" s="386"/>
      <c r="AB452" s="392" t="s">
        <v>479</v>
      </c>
    </row>
    <row r="453" spans="1:28" ht="108" customHeight="1" x14ac:dyDescent="1.95">
      <c r="A453" s="23">
        <f>'MODIFICAR CODIGOS '!A453</f>
        <v>184016</v>
      </c>
      <c r="B453" s="271" t="str">
        <f>'MODIFICAR CODIGOS '!B453</f>
        <v>BOT COCA-COLA 6,5OZ</v>
      </c>
      <c r="C453" s="284">
        <f>'MODIFICAR CODIGOS '!C453</f>
        <v>45</v>
      </c>
      <c r="D453" s="23">
        <f>'MODIFICAR CODIGOS '!D453</f>
        <v>9</v>
      </c>
      <c r="E453" s="23">
        <f>'MODIFICAR CODIGOS '!E453</f>
        <v>30</v>
      </c>
      <c r="F453" s="242"/>
      <c r="G453" s="211"/>
      <c r="H453" s="211">
        <v>6</v>
      </c>
      <c r="I453" s="211"/>
      <c r="J453" s="211"/>
      <c r="K453" s="243"/>
      <c r="L453" s="242"/>
      <c r="M453" s="211"/>
      <c r="N453" s="211"/>
      <c r="O453" s="243"/>
      <c r="P453" s="215"/>
      <c r="Q453" s="211">
        <v>33</v>
      </c>
      <c r="R453" s="247"/>
      <c r="S453" s="242"/>
      <c r="T453" s="243"/>
      <c r="U453" s="360">
        <f>(F453*C453+G453*C453+H453*C453+I453*C453+J453*C453+K453*C453+L453*D453+M453*D453+N453*D453+O453*D453+P453*1+Q453*1+R453*1+(TRUNC((S453+T453)/E453)))+(((S453+T453)/E453-TRUNC((S453+T453)/E453))*E453)/100</f>
        <v>303</v>
      </c>
      <c r="V453" s="365">
        <f t="shared" si="53"/>
        <v>303</v>
      </c>
      <c r="W453" s="366">
        <f t="shared" si="54"/>
        <v>0</v>
      </c>
      <c r="X453" s="362">
        <f t="shared" ref="X453:X487" si="55">V453+W453/E453</f>
        <v>303</v>
      </c>
      <c r="Y453" s="260"/>
      <c r="Z453" s="381"/>
      <c r="AA453" s="389"/>
    </row>
    <row r="454" spans="1:28" ht="107.4" x14ac:dyDescent="1.95">
      <c r="A454" s="23">
        <f>'MODIFICAR CODIGOS '!A454</f>
        <v>184025</v>
      </c>
      <c r="B454" s="271" t="str">
        <f>'MODIFICAR CODIGOS '!B454</f>
        <v>BOT QUATRO 6,5 OZ</v>
      </c>
      <c r="C454" s="284">
        <f>'MODIFICAR CODIGOS '!C454</f>
        <v>45</v>
      </c>
      <c r="D454" s="23">
        <f>'MODIFICAR CODIGOS '!D454</f>
        <v>9</v>
      </c>
      <c r="E454" s="23">
        <f>'MODIFICAR CODIGOS '!E454</f>
        <v>30</v>
      </c>
      <c r="F454" s="242"/>
      <c r="G454" s="211"/>
      <c r="H454" s="211">
        <v>3</v>
      </c>
      <c r="I454" s="211"/>
      <c r="J454" s="211"/>
      <c r="K454" s="243"/>
      <c r="L454" s="242"/>
      <c r="M454" s="211"/>
      <c r="N454" s="211"/>
      <c r="O454" s="243"/>
      <c r="P454" s="215"/>
      <c r="Q454" s="211">
        <v>7</v>
      </c>
      <c r="R454" s="247"/>
      <c r="S454" s="242"/>
      <c r="T454" s="243"/>
      <c r="U454" s="360">
        <f t="shared" ref="U454:U488" si="56">(F454*C454+G454*C454+H454*C454+I454*C454+J454*C454+K454*C454+L454*D454+M454*D454+N454*D454+O454*D454+P454*1+Q454*1+R454*1+(TRUNC((S454+T454)/E454)))+(((S454+T454)/E454-TRUNC((S454+T454)/E454))*E454)/100</f>
        <v>142</v>
      </c>
      <c r="V454" s="365">
        <f t="shared" si="53"/>
        <v>142</v>
      </c>
      <c r="W454" s="366">
        <f t="shared" si="54"/>
        <v>0</v>
      </c>
      <c r="X454" s="362">
        <f t="shared" si="55"/>
        <v>142</v>
      </c>
      <c r="Y454" s="260"/>
      <c r="Z454" s="381"/>
      <c r="AA454" s="389"/>
    </row>
    <row r="455" spans="1:28" ht="107.4" hidden="1" x14ac:dyDescent="1.95">
      <c r="A455" s="23">
        <f>'MODIFICAR CODIGOS '!A455</f>
        <v>0</v>
      </c>
      <c r="B455" s="271">
        <f>'MODIFICAR CODIGOS '!B455</f>
        <v>0</v>
      </c>
      <c r="C455" s="284">
        <f>'MODIFICAR CODIGOS '!C455</f>
        <v>0</v>
      </c>
      <c r="D455" s="23">
        <f>'MODIFICAR CODIGOS '!D455</f>
        <v>0</v>
      </c>
      <c r="E455" s="23">
        <f>'MODIFICAR CODIGOS '!E455</f>
        <v>30</v>
      </c>
      <c r="F455" s="242"/>
      <c r="G455" s="211"/>
      <c r="H455" s="211"/>
      <c r="I455" s="211"/>
      <c r="J455" s="211"/>
      <c r="K455" s="243"/>
      <c r="L455" s="242"/>
      <c r="M455" s="211"/>
      <c r="N455" s="211"/>
      <c r="O455" s="243"/>
      <c r="P455" s="215"/>
      <c r="Q455" s="211"/>
      <c r="R455" s="247"/>
      <c r="S455" s="242"/>
      <c r="T455" s="243"/>
      <c r="U455" s="360">
        <f t="shared" si="56"/>
        <v>0</v>
      </c>
      <c r="V455" s="365">
        <f t="shared" si="53"/>
        <v>0</v>
      </c>
      <c r="W455" s="366">
        <f t="shared" si="54"/>
        <v>0</v>
      </c>
      <c r="X455" s="362">
        <f t="shared" si="55"/>
        <v>0</v>
      </c>
      <c r="Y455" s="260"/>
      <c r="Z455" s="381"/>
      <c r="AA455" s="261"/>
      <c r="AB455" s="1"/>
    </row>
    <row r="456" spans="1:28" ht="108" customHeight="1" x14ac:dyDescent="1.95">
      <c r="A456" s="23">
        <f>'MODIFICAR CODIGOS '!A456</f>
        <v>184026</v>
      </c>
      <c r="B456" s="271" t="str">
        <f>'MODIFICAR CODIGOS '!B456</f>
        <v>BOT SPRITE VIR 6,5 OZ</v>
      </c>
      <c r="C456" s="284">
        <f>'MODIFICAR CODIGOS '!C456</f>
        <v>45</v>
      </c>
      <c r="D456" s="23">
        <f>'MODIFICAR CODIGOS '!D456</f>
        <v>9</v>
      </c>
      <c r="E456" s="23">
        <f>'MODIFICAR CODIGOS '!E456</f>
        <v>30</v>
      </c>
      <c r="F456" s="242"/>
      <c r="G456" s="211"/>
      <c r="H456" s="211">
        <v>2</v>
      </c>
      <c r="I456" s="211"/>
      <c r="J456" s="211"/>
      <c r="K456" s="243"/>
      <c r="L456" s="242"/>
      <c r="M456" s="211"/>
      <c r="N456" s="211"/>
      <c r="O456" s="243"/>
      <c r="P456" s="215"/>
      <c r="Q456" s="211"/>
      <c r="R456" s="247"/>
      <c r="S456" s="242"/>
      <c r="T456" s="243"/>
      <c r="U456" s="360">
        <f t="shared" si="56"/>
        <v>90</v>
      </c>
      <c r="V456" s="365">
        <f t="shared" si="53"/>
        <v>90</v>
      </c>
      <c r="W456" s="366">
        <f t="shared" si="54"/>
        <v>0</v>
      </c>
      <c r="X456" s="362">
        <f t="shared" si="55"/>
        <v>90</v>
      </c>
      <c r="Y456" s="260"/>
      <c r="Z456" s="381"/>
      <c r="AA456" s="389"/>
    </row>
    <row r="457" spans="1:28" ht="108" hidden="1" customHeight="1" x14ac:dyDescent="1.95">
      <c r="A457" s="23">
        <f>'MODIFICAR CODIGOS '!A457</f>
        <v>0</v>
      </c>
      <c r="B457" s="271">
        <f>'MODIFICAR CODIGOS '!B457</f>
        <v>0</v>
      </c>
      <c r="C457" s="284">
        <f>'MODIFICAR CODIGOS '!C457</f>
        <v>0</v>
      </c>
      <c r="D457" s="23">
        <f>'MODIFICAR CODIGOS '!D457</f>
        <v>0</v>
      </c>
      <c r="E457" s="23">
        <f>'MODIFICAR CODIGOS '!E457</f>
        <v>30</v>
      </c>
      <c r="F457" s="242"/>
      <c r="G457" s="211"/>
      <c r="H457" s="211"/>
      <c r="I457" s="211"/>
      <c r="J457" s="211"/>
      <c r="K457" s="243"/>
      <c r="L457" s="242"/>
      <c r="M457" s="211"/>
      <c r="N457" s="211"/>
      <c r="O457" s="243"/>
      <c r="P457" s="215"/>
      <c r="Q457" s="211"/>
      <c r="R457" s="247"/>
      <c r="S457" s="242"/>
      <c r="T457" s="243"/>
      <c r="U457" s="360">
        <f t="shared" si="56"/>
        <v>0</v>
      </c>
      <c r="V457" s="365">
        <f t="shared" si="53"/>
        <v>0</v>
      </c>
      <c r="W457" s="366">
        <f t="shared" si="54"/>
        <v>0</v>
      </c>
      <c r="X457" s="362">
        <f t="shared" si="55"/>
        <v>0</v>
      </c>
      <c r="Y457" s="260"/>
      <c r="Z457" s="381"/>
      <c r="AA457" s="261"/>
      <c r="AB457" s="1"/>
    </row>
    <row r="458" spans="1:28" ht="107.4" x14ac:dyDescent="1.95">
      <c r="A458" s="23">
        <f>'MODIFICAR CODIGOS '!A458</f>
        <v>184041</v>
      </c>
      <c r="B458" s="271" t="str">
        <f>'MODIFICAR CODIGOS '!B458</f>
        <v>PREMIO ROJO 250 ML</v>
      </c>
      <c r="C458" s="284">
        <f>'MODIFICAR CODIGOS '!C458</f>
        <v>45</v>
      </c>
      <c r="D458" s="23">
        <f>'MODIFICAR CODIGOS '!D458</f>
        <v>9</v>
      </c>
      <c r="E458" s="23">
        <f>'MODIFICAR CODIGOS '!E458</f>
        <v>30</v>
      </c>
      <c r="F458" s="242"/>
      <c r="G458" s="211"/>
      <c r="H458" s="211"/>
      <c r="I458" s="211"/>
      <c r="J458" s="211"/>
      <c r="K458" s="243"/>
      <c r="L458" s="242"/>
      <c r="M458" s="211"/>
      <c r="N458" s="211"/>
      <c r="O458" s="243"/>
      <c r="P458" s="215"/>
      <c r="Q458" s="211">
        <v>1</v>
      </c>
      <c r="R458" s="247"/>
      <c r="S458" s="242"/>
      <c r="T458" s="243"/>
      <c r="U458" s="360">
        <f t="shared" si="56"/>
        <v>1</v>
      </c>
      <c r="V458" s="365">
        <f t="shared" si="53"/>
        <v>1</v>
      </c>
      <c r="W458" s="366">
        <f t="shared" si="54"/>
        <v>0</v>
      </c>
      <c r="X458" s="362">
        <f t="shared" si="55"/>
        <v>1</v>
      </c>
      <c r="Y458" s="260"/>
      <c r="Z458" s="381"/>
      <c r="AA458" s="389"/>
    </row>
    <row r="459" spans="1:28" ht="107.4" hidden="1" x14ac:dyDescent="1.95">
      <c r="A459" s="23">
        <f>'MODIFICAR CODIGOS '!A459</f>
        <v>0</v>
      </c>
      <c r="B459" s="271">
        <f>'MODIFICAR CODIGOS '!B459</f>
        <v>0</v>
      </c>
      <c r="C459" s="284">
        <f>'MODIFICAR CODIGOS '!C459</f>
        <v>0</v>
      </c>
      <c r="D459" s="23">
        <f>'MODIFICAR CODIGOS '!D459</f>
        <v>0</v>
      </c>
      <c r="E459" s="23">
        <f>'MODIFICAR CODIGOS '!E459</f>
        <v>30</v>
      </c>
      <c r="F459" s="242"/>
      <c r="G459" s="211"/>
      <c r="H459" s="211"/>
      <c r="I459" s="211"/>
      <c r="J459" s="211"/>
      <c r="K459" s="243"/>
      <c r="L459" s="242"/>
      <c r="M459" s="211"/>
      <c r="N459" s="211"/>
      <c r="O459" s="243"/>
      <c r="P459" s="215"/>
      <c r="Q459" s="211"/>
      <c r="R459" s="247"/>
      <c r="S459" s="242"/>
      <c r="T459" s="243"/>
      <c r="U459" s="360">
        <f t="shared" si="56"/>
        <v>0</v>
      </c>
      <c r="V459" s="365">
        <f t="shared" si="53"/>
        <v>0</v>
      </c>
      <c r="W459" s="366">
        <f t="shared" si="54"/>
        <v>0</v>
      </c>
      <c r="X459" s="362">
        <f t="shared" si="55"/>
        <v>0</v>
      </c>
      <c r="Y459" s="260"/>
      <c r="Z459" s="381"/>
      <c r="AA459" s="261"/>
      <c r="AB459" s="1"/>
    </row>
    <row r="460" spans="1:28" ht="108" customHeight="1" x14ac:dyDescent="1.95">
      <c r="A460" s="23" t="s">
        <v>396</v>
      </c>
      <c r="B460" s="270"/>
      <c r="C460" s="318"/>
      <c r="D460" s="321"/>
      <c r="E460" s="319"/>
      <c r="F460" s="239"/>
      <c r="K460" s="240"/>
      <c r="L460" s="239"/>
      <c r="O460" s="240"/>
      <c r="S460" s="239"/>
      <c r="U460" s="37"/>
      <c r="V460" s="365" t="e">
        <f t="shared" si="53"/>
        <v>#DIV/0!</v>
      </c>
      <c r="W460" s="366" t="e">
        <f t="shared" si="54"/>
        <v>#DIV/0!</v>
      </c>
      <c r="X460" s="394"/>
      <c r="AA460" s="259"/>
      <c r="AB460" s="1"/>
    </row>
    <row r="461" spans="1:28" ht="108" customHeight="1" x14ac:dyDescent="1.95">
      <c r="A461" s="23">
        <f>'MODIFICAR CODIGOS '!A461</f>
        <v>184017</v>
      </c>
      <c r="B461" s="271" t="str">
        <f>'MODIFICAR CODIGOS '!B461</f>
        <v>BOT COCA-COLA 350ML</v>
      </c>
      <c r="C461" s="284">
        <f>'MODIFICAR CODIGOS '!C461</f>
        <v>45</v>
      </c>
      <c r="D461" s="320">
        <f>'MODIFICAR CODIGOS '!D461</f>
        <v>9</v>
      </c>
      <c r="E461" s="23">
        <f>'MODIFICAR CODIGOS '!E461</f>
        <v>30</v>
      </c>
      <c r="F461" s="242"/>
      <c r="G461" s="211"/>
      <c r="H461" s="211">
        <v>11</v>
      </c>
      <c r="I461" s="211"/>
      <c r="J461" s="211"/>
      <c r="K461" s="243"/>
      <c r="L461" s="242"/>
      <c r="M461" s="211"/>
      <c r="N461" s="211"/>
      <c r="O461" s="243"/>
      <c r="P461" s="215">
        <v>27</v>
      </c>
      <c r="Q461" s="211">
        <v>36</v>
      </c>
      <c r="R461" s="247"/>
      <c r="S461" s="242"/>
      <c r="T461" s="243"/>
      <c r="U461" s="360">
        <f t="shared" si="56"/>
        <v>558</v>
      </c>
      <c r="V461" s="365">
        <f t="shared" si="53"/>
        <v>558</v>
      </c>
      <c r="W461" s="366">
        <f t="shared" si="54"/>
        <v>0</v>
      </c>
      <c r="X461" s="362">
        <f t="shared" si="55"/>
        <v>558</v>
      </c>
      <c r="Y461" s="260"/>
      <c r="Z461" s="381"/>
      <c r="AA461" s="389"/>
    </row>
    <row r="462" spans="1:28" ht="107.4" x14ac:dyDescent="1.95">
      <c r="A462" s="23">
        <f>'MODIFICAR CODIGOS '!A462</f>
        <v>184038</v>
      </c>
      <c r="B462" s="271" t="str">
        <f>'MODIFICAR CODIGOS '!B462</f>
        <v>BOTELLA COCA COLA ZERO 350 ML VIR</v>
      </c>
      <c r="C462" s="284">
        <f>'MODIFICAR CODIGOS '!C462</f>
        <v>45</v>
      </c>
      <c r="D462" s="23">
        <f>'MODIFICAR CODIGOS '!D462</f>
        <v>9</v>
      </c>
      <c r="E462" s="23">
        <f>'MODIFICAR CODIGOS '!E462</f>
        <v>30</v>
      </c>
      <c r="F462" s="242"/>
      <c r="G462" s="211"/>
      <c r="H462" s="211">
        <v>2</v>
      </c>
      <c r="I462" s="211"/>
      <c r="J462" s="211"/>
      <c r="K462" s="243"/>
      <c r="L462" s="242"/>
      <c r="M462" s="211"/>
      <c r="N462" s="211"/>
      <c r="O462" s="243"/>
      <c r="P462" s="215"/>
      <c r="Q462" s="211">
        <v>13</v>
      </c>
      <c r="R462" s="247"/>
      <c r="S462" s="242"/>
      <c r="T462" s="243"/>
      <c r="U462" s="360">
        <f t="shared" si="56"/>
        <v>103</v>
      </c>
      <c r="V462" s="365">
        <f t="shared" si="53"/>
        <v>103</v>
      </c>
      <c r="W462" s="366">
        <f t="shared" si="54"/>
        <v>0</v>
      </c>
      <c r="X462" s="362">
        <f t="shared" si="55"/>
        <v>103</v>
      </c>
      <c r="Y462" s="260"/>
      <c r="Z462" s="381"/>
      <c r="AA462" s="389"/>
    </row>
    <row r="463" spans="1:28" ht="107.4" hidden="1" x14ac:dyDescent="1.95">
      <c r="A463" s="23">
        <f>'MODIFICAR CODIGOS '!A463</f>
        <v>0</v>
      </c>
      <c r="B463" s="271">
        <f>'MODIFICAR CODIGOS '!B463</f>
        <v>0</v>
      </c>
      <c r="C463" s="284">
        <f>'MODIFICAR CODIGOS '!C463</f>
        <v>0</v>
      </c>
      <c r="D463" s="23">
        <f>'MODIFICAR CODIGOS '!D463</f>
        <v>0</v>
      </c>
      <c r="E463" s="23">
        <f>'MODIFICAR CODIGOS '!E463</f>
        <v>30</v>
      </c>
      <c r="F463" s="242"/>
      <c r="G463" s="211"/>
      <c r="H463" s="211"/>
      <c r="I463" s="211"/>
      <c r="J463" s="211"/>
      <c r="K463" s="243"/>
      <c r="L463" s="242"/>
      <c r="M463" s="211"/>
      <c r="N463" s="211"/>
      <c r="O463" s="243"/>
      <c r="P463" s="215"/>
      <c r="Q463" s="211"/>
      <c r="R463" s="247"/>
      <c r="S463" s="242"/>
      <c r="T463" s="243"/>
      <c r="U463" s="360">
        <f t="shared" si="56"/>
        <v>0</v>
      </c>
      <c r="V463" s="365">
        <f t="shared" si="53"/>
        <v>0</v>
      </c>
      <c r="W463" s="366">
        <f t="shared" si="54"/>
        <v>0</v>
      </c>
      <c r="X463" s="362">
        <f t="shared" si="55"/>
        <v>0</v>
      </c>
      <c r="Y463" s="260"/>
      <c r="Z463" s="381"/>
      <c r="AA463" s="261"/>
      <c r="AB463" s="1"/>
    </row>
    <row r="464" spans="1:28" ht="107.4" x14ac:dyDescent="1.95">
      <c r="A464" s="23">
        <f>'MODIFICAR CODIGOS '!A464</f>
        <v>183131</v>
      </c>
      <c r="B464" s="271" t="str">
        <f>'MODIFICAR CODIGOS '!B464</f>
        <v>BOTELLA FRUTAL 350 ML VIR</v>
      </c>
      <c r="C464" s="284">
        <f>'MODIFICAR CODIGOS '!C464</f>
        <v>45</v>
      </c>
      <c r="D464" s="23">
        <f>'MODIFICAR CODIGOS '!D464</f>
        <v>9</v>
      </c>
      <c r="E464" s="23">
        <f>'MODIFICAR CODIGOS '!E464</f>
        <v>30</v>
      </c>
      <c r="F464" s="242"/>
      <c r="G464" s="211"/>
      <c r="H464" s="211"/>
      <c r="I464" s="211"/>
      <c r="J464" s="211"/>
      <c r="K464" s="243"/>
      <c r="L464" s="242"/>
      <c r="M464" s="211"/>
      <c r="N464" s="211"/>
      <c r="O464" s="243"/>
      <c r="P464" s="215"/>
      <c r="Q464" s="211"/>
      <c r="R464" s="247"/>
      <c r="S464" s="242"/>
      <c r="T464" s="243"/>
      <c r="U464" s="360">
        <f t="shared" si="56"/>
        <v>0</v>
      </c>
      <c r="V464" s="365">
        <f t="shared" si="53"/>
        <v>0</v>
      </c>
      <c r="W464" s="366">
        <f t="shared" si="54"/>
        <v>0</v>
      </c>
      <c r="X464" s="362">
        <f t="shared" si="55"/>
        <v>0</v>
      </c>
      <c r="Y464" s="260"/>
      <c r="Z464" s="381"/>
      <c r="AA464" s="389"/>
    </row>
    <row r="465" spans="1:28" ht="107.4" x14ac:dyDescent="1.95">
      <c r="A465" s="23">
        <f>'MODIFICAR CODIGOS '!A465</f>
        <v>184019</v>
      </c>
      <c r="B465" s="271" t="str">
        <f>'MODIFICAR CODIGOS '!B465</f>
        <v>BOT QUATRO 350ML</v>
      </c>
      <c r="C465" s="284">
        <f>'MODIFICAR CODIGOS '!C465</f>
        <v>45</v>
      </c>
      <c r="D465" s="23">
        <f>'MODIFICAR CODIGOS '!D465</f>
        <v>9</v>
      </c>
      <c r="E465" s="23">
        <f>'MODIFICAR CODIGOS '!E465</f>
        <v>30</v>
      </c>
      <c r="F465" s="242"/>
      <c r="G465" s="211"/>
      <c r="H465" s="211">
        <v>4</v>
      </c>
      <c r="I465" s="211"/>
      <c r="J465" s="211"/>
      <c r="K465" s="243"/>
      <c r="L465" s="242"/>
      <c r="M465" s="211"/>
      <c r="N465" s="211"/>
      <c r="O465" s="243"/>
      <c r="P465" s="215">
        <v>10</v>
      </c>
      <c r="Q465" s="211"/>
      <c r="R465" s="247"/>
      <c r="S465" s="242"/>
      <c r="T465" s="243"/>
      <c r="U465" s="360">
        <f t="shared" si="56"/>
        <v>190</v>
      </c>
      <c r="V465" s="365">
        <f t="shared" si="53"/>
        <v>190</v>
      </c>
      <c r="W465" s="366">
        <f t="shared" si="54"/>
        <v>0</v>
      </c>
      <c r="X465" s="362">
        <f t="shared" si="55"/>
        <v>190</v>
      </c>
      <c r="Y465" s="260"/>
      <c r="Z465" s="381"/>
      <c r="AA465" s="389"/>
    </row>
    <row r="466" spans="1:28" ht="107.4" x14ac:dyDescent="1.95">
      <c r="A466" s="23">
        <f>'MODIFICAR CODIGOS '!A466</f>
        <v>184020</v>
      </c>
      <c r="B466" s="271" t="str">
        <f>'MODIFICAR CODIGOS '!B466</f>
        <v>BOT SPRITE 350ML</v>
      </c>
      <c r="C466" s="284">
        <f>'MODIFICAR CODIGOS '!C466</f>
        <v>45</v>
      </c>
      <c r="D466" s="23">
        <f>'MODIFICAR CODIGOS '!D466</f>
        <v>9</v>
      </c>
      <c r="E466" s="23">
        <f>'MODIFICAR CODIGOS '!E466</f>
        <v>30</v>
      </c>
      <c r="F466" s="242"/>
      <c r="G466" s="211"/>
      <c r="H466" s="211"/>
      <c r="I466" s="211">
        <v>2</v>
      </c>
      <c r="J466" s="211"/>
      <c r="K466" s="243"/>
      <c r="L466" s="242"/>
      <c r="M466" s="211"/>
      <c r="N466" s="211"/>
      <c r="O466" s="243"/>
      <c r="P466" s="215">
        <v>14</v>
      </c>
      <c r="Q466" s="211">
        <v>2</v>
      </c>
      <c r="R466" s="247"/>
      <c r="S466" s="242"/>
      <c r="T466" s="243"/>
      <c r="U466" s="360">
        <f t="shared" si="56"/>
        <v>106</v>
      </c>
      <c r="V466" s="365">
        <f t="shared" si="53"/>
        <v>106</v>
      </c>
      <c r="W466" s="366">
        <f t="shared" si="54"/>
        <v>0</v>
      </c>
      <c r="X466" s="362">
        <f t="shared" si="55"/>
        <v>106</v>
      </c>
      <c r="Y466" s="260"/>
      <c r="Z466" s="381"/>
      <c r="AA466" s="389"/>
    </row>
    <row r="467" spans="1:28" ht="107.4" x14ac:dyDescent="1.95">
      <c r="A467" s="23">
        <f>'MODIFICAR CODIGOS '!A467</f>
        <v>184022</v>
      </c>
      <c r="B467" s="271" t="str">
        <f>'MODIFICAR CODIGOS '!B467</f>
        <v>BOT PREMIO 350 ML</v>
      </c>
      <c r="C467" s="284">
        <f>'MODIFICAR CODIGOS '!C467</f>
        <v>45</v>
      </c>
      <c r="D467" s="23">
        <f>'MODIFICAR CODIGOS '!D467</f>
        <v>9</v>
      </c>
      <c r="E467" s="23">
        <f>'MODIFICAR CODIGOS '!E467</f>
        <v>30</v>
      </c>
      <c r="F467" s="242"/>
      <c r="G467" s="211"/>
      <c r="H467" s="211"/>
      <c r="I467" s="211">
        <v>1</v>
      </c>
      <c r="J467" s="211"/>
      <c r="K467" s="243"/>
      <c r="L467" s="242"/>
      <c r="M467" s="211"/>
      <c r="N467" s="211"/>
      <c r="O467" s="243"/>
      <c r="P467" s="215">
        <v>6</v>
      </c>
      <c r="Q467" s="211"/>
      <c r="R467" s="247"/>
      <c r="S467" s="242"/>
      <c r="T467" s="243"/>
      <c r="U467" s="360">
        <f t="shared" si="56"/>
        <v>51</v>
      </c>
      <c r="V467" s="365">
        <f t="shared" si="53"/>
        <v>51</v>
      </c>
      <c r="W467" s="366">
        <f t="shared" si="54"/>
        <v>0</v>
      </c>
      <c r="X467" s="362">
        <f t="shared" si="55"/>
        <v>51</v>
      </c>
      <c r="Y467" s="260"/>
      <c r="Z467" s="381"/>
      <c r="AA467" s="389"/>
    </row>
    <row r="468" spans="1:28" ht="107.4" x14ac:dyDescent="1.95">
      <c r="A468" s="23">
        <f>'MODIFICAR CODIGOS '!A468</f>
        <v>184035</v>
      </c>
      <c r="B468" s="271" t="str">
        <f>'MODIFICAR CODIGOS '!B468</f>
        <v>BOTELLA SCHWEPPES 350 ML VIR</v>
      </c>
      <c r="C468" s="284">
        <f>'MODIFICAR CODIGOS '!C468</f>
        <v>45</v>
      </c>
      <c r="D468" s="23">
        <f>'MODIFICAR CODIGOS '!D468</f>
        <v>9</v>
      </c>
      <c r="E468" s="23">
        <f>'MODIFICAR CODIGOS '!E468</f>
        <v>30</v>
      </c>
      <c r="F468" s="242"/>
      <c r="G468" s="211"/>
      <c r="H468" s="211"/>
      <c r="I468" s="211">
        <v>1</v>
      </c>
      <c r="J468" s="211"/>
      <c r="K468" s="243"/>
      <c r="L468" s="242"/>
      <c r="M468" s="211"/>
      <c r="N468" s="211"/>
      <c r="O468" s="243"/>
      <c r="P468" s="215"/>
      <c r="Q468" s="211">
        <v>2</v>
      </c>
      <c r="R468" s="247"/>
      <c r="S468" s="242"/>
      <c r="T468" s="243"/>
      <c r="U468" s="360">
        <f t="shared" si="56"/>
        <v>47</v>
      </c>
      <c r="V468" s="365">
        <f t="shared" si="53"/>
        <v>47</v>
      </c>
      <c r="W468" s="366">
        <f t="shared" si="54"/>
        <v>0</v>
      </c>
      <c r="X468" s="362">
        <f t="shared" si="55"/>
        <v>47</v>
      </c>
      <c r="Y468" s="260"/>
      <c r="Z468" s="381"/>
      <c r="AA468" s="389"/>
    </row>
    <row r="469" spans="1:28" ht="107.4" x14ac:dyDescent="1.95">
      <c r="A469" s="23">
        <f>'MODIFICAR CODIGOS '!A469</f>
        <v>184030</v>
      </c>
      <c r="B469" s="271" t="str">
        <f>'MODIFICAR CODIGOS '!B469</f>
        <v>BOT COCA-COLA 1.25LT</v>
      </c>
      <c r="C469" s="284">
        <f>'MODIFICAR CODIGOS '!C469</f>
        <v>40</v>
      </c>
      <c r="D469" s="23">
        <f>'MODIFICAR CODIGOS '!D469</f>
        <v>10</v>
      </c>
      <c r="E469" s="23">
        <f>'MODIFICAR CODIGOS '!E469</f>
        <v>30</v>
      </c>
      <c r="F469" s="242"/>
      <c r="G469" s="211"/>
      <c r="H469" s="211"/>
      <c r="I469" s="211"/>
      <c r="J469" s="211"/>
      <c r="K469" s="243"/>
      <c r="L469" s="242"/>
      <c r="M469" s="211"/>
      <c r="N469" s="211"/>
      <c r="O469" s="243"/>
      <c r="P469" s="215">
        <v>44</v>
      </c>
      <c r="Q469" s="211"/>
      <c r="R469" s="247"/>
      <c r="S469" s="242"/>
      <c r="T469" s="243"/>
      <c r="U469" s="360">
        <f t="shared" si="56"/>
        <v>44</v>
      </c>
      <c r="V469" s="365">
        <f t="shared" si="53"/>
        <v>44</v>
      </c>
      <c r="W469" s="366">
        <f t="shared" si="54"/>
        <v>0</v>
      </c>
      <c r="X469" s="362">
        <f t="shared" si="55"/>
        <v>44</v>
      </c>
      <c r="Y469" s="260"/>
      <c r="Z469" s="381"/>
      <c r="AA469" s="389"/>
    </row>
    <row r="470" spans="1:28" ht="107.4" x14ac:dyDescent="1.95">
      <c r="A470" s="23" t="s">
        <v>396</v>
      </c>
      <c r="B470" s="271"/>
      <c r="C470" s="318"/>
      <c r="D470" s="321"/>
      <c r="E470" s="319"/>
      <c r="F470" s="242"/>
      <c r="G470" s="211"/>
      <c r="H470" s="211"/>
      <c r="I470" s="211"/>
      <c r="J470" s="211"/>
      <c r="K470" s="243"/>
      <c r="L470" s="242"/>
      <c r="M470" s="211"/>
      <c r="N470" s="211"/>
      <c r="O470" s="243"/>
      <c r="P470" s="215"/>
      <c r="Q470" s="211"/>
      <c r="R470" s="247"/>
      <c r="S470" s="242"/>
      <c r="T470" s="247"/>
      <c r="U470" s="37"/>
      <c r="V470" s="365" t="e">
        <f t="shared" si="53"/>
        <v>#DIV/0!</v>
      </c>
      <c r="W470" s="366" t="e">
        <f t="shared" si="54"/>
        <v>#DIV/0!</v>
      </c>
      <c r="X470" s="394"/>
      <c r="Y470" s="396"/>
      <c r="Z470" s="381"/>
      <c r="AA470" s="261"/>
      <c r="AB470" s="1"/>
    </row>
    <row r="471" spans="1:28" ht="107.4" x14ac:dyDescent="1.95">
      <c r="A471" s="23">
        <f>'MODIFICAR CODIGOS '!A471</f>
        <v>184013</v>
      </c>
      <c r="B471" s="271" t="str">
        <f>'MODIFICAR CODIGOS '!B471</f>
        <v>CILINDRO 20KL</v>
      </c>
      <c r="C471" s="284">
        <f>'MODIFICAR CODIGOS '!C471</f>
        <v>8</v>
      </c>
      <c r="D471" s="320">
        <f>'MODIFICAR CODIGOS '!D471</f>
        <v>1</v>
      </c>
      <c r="E471" s="23">
        <f>'MODIFICAR CODIGOS '!E471</f>
        <v>1</v>
      </c>
      <c r="F471" s="242"/>
      <c r="G471" s="211"/>
      <c r="H471" s="211"/>
      <c r="I471" s="211"/>
      <c r="J471" s="211"/>
      <c r="K471" s="243"/>
      <c r="L471" s="242"/>
      <c r="M471" s="211"/>
      <c r="N471" s="211"/>
      <c r="O471" s="243"/>
      <c r="P471" s="215"/>
      <c r="Q471" s="211">
        <v>6</v>
      </c>
      <c r="R471" s="247"/>
      <c r="S471" s="242"/>
      <c r="T471" s="243"/>
      <c r="U471" s="360">
        <f t="shared" si="56"/>
        <v>6</v>
      </c>
      <c r="V471" s="365">
        <f t="shared" si="53"/>
        <v>6</v>
      </c>
      <c r="W471" s="366">
        <f t="shared" si="54"/>
        <v>0</v>
      </c>
      <c r="X471" s="362">
        <f t="shared" si="55"/>
        <v>6</v>
      </c>
      <c r="Y471" s="260"/>
      <c r="Z471" s="381"/>
      <c r="AA471" s="389"/>
    </row>
    <row r="472" spans="1:28" ht="107.4" x14ac:dyDescent="1.95">
      <c r="A472" s="23">
        <f>'MODIFICAR CODIGOS '!A472</f>
        <v>184002</v>
      </c>
      <c r="B472" s="271" t="str">
        <f>'MODIFICAR CODIGOS '!B472</f>
        <v>BOTELLON DE AGUA 5 GLN</v>
      </c>
      <c r="C472" s="284">
        <f>'MODIFICAR CODIGOS '!C472</f>
        <v>32</v>
      </c>
      <c r="D472" s="23">
        <f>'MODIFICAR CODIGOS '!D472</f>
        <v>1</v>
      </c>
      <c r="E472" s="23">
        <f>'MODIFICAR CODIGOS '!E472</f>
        <v>1</v>
      </c>
      <c r="F472" s="242"/>
      <c r="G472" s="211"/>
      <c r="H472" s="211"/>
      <c r="I472" s="211"/>
      <c r="J472" s="211"/>
      <c r="K472" s="243">
        <v>2</v>
      </c>
      <c r="L472" s="242"/>
      <c r="M472" s="211"/>
      <c r="N472" s="211"/>
      <c r="O472" s="243"/>
      <c r="P472" s="215"/>
      <c r="Q472" s="211">
        <v>17</v>
      </c>
      <c r="R472" s="247">
        <v>17</v>
      </c>
      <c r="S472" s="242"/>
      <c r="T472" s="243"/>
      <c r="U472" s="360">
        <f t="shared" si="56"/>
        <v>98</v>
      </c>
      <c r="V472" s="365">
        <f t="shared" si="53"/>
        <v>98</v>
      </c>
      <c r="W472" s="366">
        <f t="shared" si="54"/>
        <v>0</v>
      </c>
      <c r="X472" s="362">
        <f t="shared" si="55"/>
        <v>98</v>
      </c>
      <c r="Y472" s="260"/>
      <c r="Z472" s="381"/>
      <c r="AA472" s="389"/>
    </row>
    <row r="473" spans="1:28" ht="107.4" x14ac:dyDescent="1.95">
      <c r="A473" s="23" t="s">
        <v>396</v>
      </c>
      <c r="B473" s="270"/>
      <c r="C473" s="318"/>
      <c r="D473" s="321"/>
      <c r="E473" s="319"/>
      <c r="F473" s="239"/>
      <c r="K473" s="240"/>
      <c r="L473" s="239"/>
      <c r="O473" s="240"/>
      <c r="S473" s="239"/>
      <c r="U473" s="37"/>
      <c r="V473" s="365" t="e">
        <f t="shared" si="53"/>
        <v>#DIV/0!</v>
      </c>
      <c r="W473" s="366" t="e">
        <f t="shared" si="54"/>
        <v>#DIV/0!</v>
      </c>
      <c r="X473" s="394"/>
      <c r="AA473" s="259"/>
      <c r="AB473" s="1"/>
    </row>
    <row r="474" spans="1:28" ht="107.4" x14ac:dyDescent="1.95">
      <c r="A474" s="23">
        <f>'MODIFICAR CODIGOS '!A474</f>
        <v>184008</v>
      </c>
      <c r="B474" s="271" t="str">
        <f>'MODIFICAR CODIGOS '!B474</f>
        <v>CANASTA PLASTICA 30UN</v>
      </c>
      <c r="C474" s="284">
        <f>'MODIFICAR CODIGOS '!C474</f>
        <v>45</v>
      </c>
      <c r="D474" s="320">
        <f>'MODIFICAR CODIGOS '!D474</f>
        <v>9</v>
      </c>
      <c r="E474" s="23">
        <f>'MODIFICAR CODIGOS '!E474</f>
        <v>1</v>
      </c>
      <c r="F474" s="242"/>
      <c r="G474" s="211"/>
      <c r="H474" s="211"/>
      <c r="I474" s="211"/>
      <c r="J474" s="211"/>
      <c r="K474" s="243"/>
      <c r="L474" s="242"/>
      <c r="M474" s="211"/>
      <c r="N474" s="211"/>
      <c r="O474" s="243"/>
      <c r="P474" s="215">
        <v>30</v>
      </c>
      <c r="Q474" s="211"/>
      <c r="R474" s="247"/>
      <c r="S474" s="242"/>
      <c r="T474" s="243"/>
      <c r="U474" s="360">
        <f t="shared" si="56"/>
        <v>30</v>
      </c>
      <c r="V474" s="365">
        <f t="shared" si="53"/>
        <v>30</v>
      </c>
      <c r="W474" s="366">
        <f t="shared" si="54"/>
        <v>0</v>
      </c>
      <c r="X474" s="362">
        <f t="shared" si="55"/>
        <v>30</v>
      </c>
      <c r="Y474" s="260"/>
      <c r="Z474" s="381"/>
      <c r="AA474" s="389"/>
    </row>
    <row r="475" spans="1:28" ht="107.4" x14ac:dyDescent="1.95">
      <c r="A475" s="23">
        <f>'MODIFICAR CODIGOS '!A475</f>
        <v>184009</v>
      </c>
      <c r="B475" s="271" t="str">
        <f>'MODIFICAR CODIGOS '!B475</f>
        <v>CANASTA PLASTICA 12UN</v>
      </c>
      <c r="C475" s="284">
        <f>'MODIFICAR CODIGOS '!C475</f>
        <v>40</v>
      </c>
      <c r="D475" s="23">
        <f>'MODIFICAR CODIGOS '!D475</f>
        <v>10</v>
      </c>
      <c r="E475" s="23">
        <f>'MODIFICAR CODIGOS '!E475</f>
        <v>1</v>
      </c>
      <c r="F475" s="242"/>
      <c r="G475" s="211"/>
      <c r="H475" s="211"/>
      <c r="I475" s="211"/>
      <c r="J475" s="211"/>
      <c r="K475" s="243"/>
      <c r="L475" s="242"/>
      <c r="M475" s="211"/>
      <c r="N475" s="211"/>
      <c r="O475" s="243"/>
      <c r="P475" s="215">
        <v>30</v>
      </c>
      <c r="Q475" s="211"/>
      <c r="R475" s="247"/>
      <c r="S475" s="242"/>
      <c r="T475" s="243"/>
      <c r="U475" s="360">
        <f t="shared" si="56"/>
        <v>30</v>
      </c>
      <c r="V475" s="365">
        <f t="shared" si="53"/>
        <v>30</v>
      </c>
      <c r="W475" s="366">
        <f t="shared" si="54"/>
        <v>0</v>
      </c>
      <c r="X475" s="362">
        <f t="shared" si="55"/>
        <v>30</v>
      </c>
      <c r="Y475" s="260"/>
      <c r="Z475" s="381"/>
      <c r="AA475" s="389"/>
    </row>
    <row r="476" spans="1:28" ht="107.4" x14ac:dyDescent="1.95">
      <c r="A476" s="23" t="s">
        <v>396</v>
      </c>
      <c r="B476" s="270"/>
      <c r="C476" s="318"/>
      <c r="D476" s="321"/>
      <c r="E476" s="319"/>
      <c r="F476" s="239"/>
      <c r="K476" s="240"/>
      <c r="L476" s="239"/>
      <c r="O476" s="240"/>
      <c r="S476" s="239"/>
      <c r="U476" s="37"/>
      <c r="V476" s="365" t="e">
        <f t="shared" si="53"/>
        <v>#DIV/0!</v>
      </c>
      <c r="W476" s="366" t="e">
        <f t="shared" si="54"/>
        <v>#DIV/0!</v>
      </c>
      <c r="X476" s="394"/>
      <c r="AA476" s="259"/>
      <c r="AB476" s="1"/>
    </row>
    <row r="477" spans="1:28" ht="107.4" x14ac:dyDescent="1.95">
      <c r="A477" s="23">
        <f>'MODIFICAR CODIGOS '!A477</f>
        <v>184001</v>
      </c>
      <c r="B477" s="271" t="str">
        <f>'MODIFICAR CODIGOS '!B477</f>
        <v>CANASTA PLASTICA BRISA</v>
      </c>
      <c r="C477" s="284">
        <f>'MODIFICAR CODIGOS '!C477</f>
        <v>45</v>
      </c>
      <c r="D477" s="320">
        <f>'MODIFICAR CODIGOS '!D477</f>
        <v>9</v>
      </c>
      <c r="E477" s="23">
        <f>'MODIFICAR CODIGOS '!E477</f>
        <v>1</v>
      </c>
      <c r="F477" s="242"/>
      <c r="G477" s="211"/>
      <c r="H477" s="211"/>
      <c r="I477" s="211"/>
      <c r="J477" s="211"/>
      <c r="K477" s="243"/>
      <c r="L477" s="242"/>
      <c r="M477" s="211"/>
      <c r="N477" s="211"/>
      <c r="O477" s="243"/>
      <c r="P477" s="215"/>
      <c r="Q477" s="211"/>
      <c r="R477" s="247"/>
      <c r="S477" s="242"/>
      <c r="T477" s="243"/>
      <c r="U477" s="360">
        <f t="shared" si="56"/>
        <v>0</v>
      </c>
      <c r="V477" s="365">
        <f t="shared" si="53"/>
        <v>0</v>
      </c>
      <c r="W477" s="366">
        <f t="shared" si="54"/>
        <v>0</v>
      </c>
      <c r="X477" s="362">
        <f t="shared" si="55"/>
        <v>0</v>
      </c>
      <c r="Y477" s="260"/>
      <c r="Z477" s="381"/>
      <c r="AA477" s="389"/>
    </row>
    <row r="478" spans="1:28" ht="107.4" x14ac:dyDescent="1.95">
      <c r="A478" s="23">
        <f>'MODIFICAR CODIGOS '!A478</f>
        <v>184003</v>
      </c>
      <c r="B478" s="271" t="str">
        <f>'MODIFICAR CODIGOS '!B478</f>
        <v>CANASTA PLASTICA BRISA KOF</v>
      </c>
      <c r="C478" s="284">
        <f>'MODIFICAR CODIGOS '!C478</f>
        <v>45</v>
      </c>
      <c r="D478" s="23">
        <f>'MODIFICAR CODIGOS '!D478</f>
        <v>9</v>
      </c>
      <c r="E478" s="23">
        <f>'MODIFICAR CODIGOS '!E478</f>
        <v>1</v>
      </c>
      <c r="F478" s="242"/>
      <c r="G478" s="211"/>
      <c r="H478" s="211"/>
      <c r="I478" s="211"/>
      <c r="J478" s="211"/>
      <c r="K478" s="243"/>
      <c r="L478" s="242"/>
      <c r="M478" s="211"/>
      <c r="N478" s="211"/>
      <c r="O478" s="243"/>
      <c r="P478" s="215"/>
      <c r="Q478" s="211">
        <v>15</v>
      </c>
      <c r="R478" s="247"/>
      <c r="S478" s="242"/>
      <c r="T478" s="243"/>
      <c r="U478" s="360">
        <f t="shared" si="56"/>
        <v>15</v>
      </c>
      <c r="V478" s="365">
        <f t="shared" si="53"/>
        <v>15</v>
      </c>
      <c r="W478" s="366">
        <f t="shared" si="54"/>
        <v>0</v>
      </c>
      <c r="X478" s="362">
        <f t="shared" si="55"/>
        <v>15</v>
      </c>
      <c r="Y478" s="260"/>
      <c r="Z478" s="381"/>
      <c r="AA478" s="389"/>
    </row>
    <row r="479" spans="1:28" ht="107.4" x14ac:dyDescent="1.95">
      <c r="A479" s="23" t="s">
        <v>396</v>
      </c>
      <c r="B479" s="270"/>
      <c r="C479" s="318"/>
      <c r="D479" s="321"/>
      <c r="E479" s="319"/>
      <c r="F479" s="239"/>
      <c r="K479" s="240"/>
      <c r="L479" s="239"/>
      <c r="O479" s="240"/>
      <c r="S479" s="239"/>
      <c r="U479" s="37"/>
      <c r="V479" s="365" t="e">
        <f t="shared" si="53"/>
        <v>#DIV/0!</v>
      </c>
      <c r="W479" s="366" t="e">
        <f t="shared" si="54"/>
        <v>#DIV/0!</v>
      </c>
      <c r="X479" s="394"/>
      <c r="AA479" s="259"/>
      <c r="AB479" s="1"/>
    </row>
    <row r="480" spans="1:28" ht="107.4" hidden="1" x14ac:dyDescent="1.95">
      <c r="A480" s="23">
        <f>'MODIFICAR CODIGOS '!A480</f>
        <v>0</v>
      </c>
      <c r="B480" s="271">
        <f>'MODIFICAR CODIGOS '!B480</f>
        <v>0</v>
      </c>
      <c r="C480" s="284">
        <f>'MODIFICAR CODIGOS '!C480</f>
        <v>0</v>
      </c>
      <c r="D480" s="320">
        <f>'MODIFICAR CODIGOS '!D480</f>
        <v>0</v>
      </c>
      <c r="E480" s="23">
        <f>'MODIFICAR CODIGOS '!E480</f>
        <v>1</v>
      </c>
      <c r="F480" s="242"/>
      <c r="G480" s="211"/>
      <c r="H480" s="211"/>
      <c r="I480" s="211"/>
      <c r="J480" s="211"/>
      <c r="K480" s="243"/>
      <c r="L480" s="242"/>
      <c r="M480" s="211"/>
      <c r="N480" s="211"/>
      <c r="O480" s="243"/>
      <c r="P480" s="215"/>
      <c r="Q480" s="211"/>
      <c r="R480" s="247"/>
      <c r="S480" s="242"/>
      <c r="T480" s="243"/>
      <c r="U480" s="360">
        <f t="shared" si="56"/>
        <v>0</v>
      </c>
      <c r="V480" s="365">
        <f t="shared" si="53"/>
        <v>0</v>
      </c>
      <c r="W480" s="366">
        <f t="shared" si="54"/>
        <v>0</v>
      </c>
      <c r="X480" s="362">
        <f t="shared" si="55"/>
        <v>0</v>
      </c>
      <c r="Y480" s="260"/>
      <c r="Z480" s="381"/>
      <c r="AA480" s="261"/>
      <c r="AB480" s="1"/>
    </row>
    <row r="481" spans="1:28" ht="107.4" x14ac:dyDescent="1.95">
      <c r="A481" s="23">
        <f>'MODIFICAR CODIGOS '!A481</f>
        <v>197794</v>
      </c>
      <c r="B481" s="271" t="str">
        <f>'MODIFICAR CODIGOS '!B481</f>
        <v>RACK O ESTIBA METALICA</v>
      </c>
      <c r="C481" s="284">
        <f>'MODIFICAR CODIGOS '!C481</f>
        <v>1</v>
      </c>
      <c r="D481" s="23">
        <f>'MODIFICAR CODIGOS '!D481</f>
        <v>1</v>
      </c>
      <c r="E481" s="23">
        <f>'MODIFICAR CODIGOS '!E481</f>
        <v>1</v>
      </c>
      <c r="F481" s="242"/>
      <c r="G481" s="211"/>
      <c r="H481" s="211"/>
      <c r="I481" s="211"/>
      <c r="J481" s="211"/>
      <c r="K481" s="243"/>
      <c r="L481" s="242"/>
      <c r="M481" s="211"/>
      <c r="N481" s="211"/>
      <c r="O481" s="243"/>
      <c r="P481" s="215">
        <v>18</v>
      </c>
      <c r="Q481" s="211">
        <v>20</v>
      </c>
      <c r="R481" s="247">
        <v>7</v>
      </c>
      <c r="S481" s="242"/>
      <c r="T481" s="243"/>
      <c r="U481" s="360">
        <f t="shared" si="56"/>
        <v>45</v>
      </c>
      <c r="V481" s="365">
        <f t="shared" si="53"/>
        <v>45</v>
      </c>
      <c r="W481" s="366">
        <f t="shared" si="54"/>
        <v>0</v>
      </c>
      <c r="X481" s="362">
        <f t="shared" si="55"/>
        <v>45</v>
      </c>
      <c r="Y481" s="260"/>
      <c r="Z481" s="381"/>
      <c r="AA481" s="389"/>
    </row>
    <row r="482" spans="1:28" ht="107.4" hidden="1" x14ac:dyDescent="1.95">
      <c r="A482" s="23">
        <f>'MODIFICAR CODIGOS '!A482</f>
        <v>0</v>
      </c>
      <c r="B482" s="271">
        <f>'MODIFICAR CODIGOS '!B482</f>
        <v>0</v>
      </c>
      <c r="C482" s="284">
        <f>'MODIFICAR CODIGOS '!C482</f>
        <v>0</v>
      </c>
      <c r="D482" s="23">
        <f>'MODIFICAR CODIGOS '!D482</f>
        <v>0</v>
      </c>
      <c r="E482" s="23">
        <f>'MODIFICAR CODIGOS '!E482</f>
        <v>1</v>
      </c>
      <c r="F482" s="242"/>
      <c r="G482" s="211"/>
      <c r="H482" s="211"/>
      <c r="I482" s="211"/>
      <c r="J482" s="211"/>
      <c r="K482" s="243"/>
      <c r="L482" s="242"/>
      <c r="M482" s="211"/>
      <c r="N482" s="211"/>
      <c r="O482" s="243"/>
      <c r="P482" s="215"/>
      <c r="Q482" s="211"/>
      <c r="R482" s="247"/>
      <c r="S482" s="242"/>
      <c r="T482" s="243"/>
      <c r="U482" s="360">
        <f t="shared" si="56"/>
        <v>0</v>
      </c>
      <c r="V482" s="365">
        <f t="shared" si="53"/>
        <v>0</v>
      </c>
      <c r="W482" s="366">
        <f t="shared" si="54"/>
        <v>0</v>
      </c>
      <c r="X482" s="362">
        <f t="shared" si="55"/>
        <v>0</v>
      </c>
      <c r="Y482" s="260"/>
      <c r="Z482" s="381"/>
      <c r="AA482" s="261"/>
      <c r="AB482" s="1"/>
    </row>
    <row r="483" spans="1:28" ht="107.4" x14ac:dyDescent="1.95">
      <c r="A483" s="23">
        <f>'MODIFICAR CODIGOS '!A483</f>
        <v>197792</v>
      </c>
      <c r="B483" s="271" t="str">
        <f>'MODIFICAR CODIGOS '!B483</f>
        <v>RACK CILINDROS DE CO2 x 4 NVO</v>
      </c>
      <c r="C483" s="284">
        <f>'MODIFICAR CODIGOS '!C483</f>
        <v>1</v>
      </c>
      <c r="D483" s="23">
        <f>'MODIFICAR CODIGOS '!D483</f>
        <v>1</v>
      </c>
      <c r="E483" s="23">
        <f>'MODIFICAR CODIGOS '!E483</f>
        <v>1</v>
      </c>
      <c r="F483" s="242"/>
      <c r="G483" s="211"/>
      <c r="H483" s="211"/>
      <c r="I483" s="211"/>
      <c r="J483" s="211"/>
      <c r="K483" s="243"/>
      <c r="L483" s="242"/>
      <c r="M483" s="211"/>
      <c r="N483" s="211"/>
      <c r="O483" s="243"/>
      <c r="P483" s="215"/>
      <c r="Q483" s="211"/>
      <c r="R483" s="247"/>
      <c r="S483" s="242"/>
      <c r="T483" s="243"/>
      <c r="U483" s="360">
        <f t="shared" si="56"/>
        <v>0</v>
      </c>
      <c r="V483" s="365">
        <f t="shared" si="53"/>
        <v>0</v>
      </c>
      <c r="W483" s="366">
        <f t="shared" si="54"/>
        <v>0</v>
      </c>
      <c r="X483" s="362">
        <f t="shared" si="55"/>
        <v>0</v>
      </c>
      <c r="Y483" s="260"/>
      <c r="Z483" s="381"/>
      <c r="AA483" s="389"/>
    </row>
    <row r="484" spans="1:28" ht="107.4" x14ac:dyDescent="1.95">
      <c r="A484" s="23" t="str">
        <f>'MODIFICAR CODIGOS '!A484</f>
        <v>*</v>
      </c>
      <c r="B484" s="271"/>
      <c r="C484" s="318"/>
      <c r="D484" s="321"/>
      <c r="E484" s="319"/>
      <c r="F484" s="242"/>
      <c r="G484" s="211"/>
      <c r="H484" s="211"/>
      <c r="I484" s="211"/>
      <c r="J484" s="211"/>
      <c r="K484" s="243"/>
      <c r="L484" s="242"/>
      <c r="M484" s="211"/>
      <c r="N484" s="211"/>
      <c r="O484" s="243"/>
      <c r="P484" s="215"/>
      <c r="Q484" s="211"/>
      <c r="R484" s="247"/>
      <c r="S484" s="242"/>
      <c r="T484" s="247"/>
      <c r="U484" s="37"/>
      <c r="V484" s="365" t="e">
        <f t="shared" si="53"/>
        <v>#DIV/0!</v>
      </c>
      <c r="W484" s="366" t="e">
        <f t="shared" si="54"/>
        <v>#DIV/0!</v>
      </c>
      <c r="X484" s="394"/>
      <c r="Y484" s="396"/>
      <c r="Z484" s="381"/>
      <c r="AA484" s="261"/>
      <c r="AB484" s="1"/>
    </row>
    <row r="485" spans="1:28" ht="107.4" x14ac:dyDescent="1.95">
      <c r="A485" s="23">
        <f>'MODIFICAR CODIGOS '!A485</f>
        <v>197826</v>
      </c>
      <c r="B485" s="271" t="str">
        <f>'MODIFICAR CODIGOS '!B485</f>
        <v xml:space="preserve">ESTIBA DE MADERA </v>
      </c>
      <c r="C485" s="284">
        <f>'MODIFICAR CODIGOS '!C485</f>
        <v>20</v>
      </c>
      <c r="D485" s="320">
        <f>'MODIFICAR CODIGOS '!D485</f>
        <v>1</v>
      </c>
      <c r="E485" s="23">
        <f>'MODIFICAR CODIGOS '!E485</f>
        <v>1</v>
      </c>
      <c r="F485" s="242"/>
      <c r="G485" s="211"/>
      <c r="H485" s="211"/>
      <c r="I485" s="211"/>
      <c r="J485" s="211"/>
      <c r="K485" s="243"/>
      <c r="L485" s="242"/>
      <c r="M485" s="211"/>
      <c r="N485" s="211"/>
      <c r="O485" s="243"/>
      <c r="P485" s="215">
        <v>32</v>
      </c>
      <c r="Q485" s="211">
        <v>41</v>
      </c>
      <c r="R485" s="247">
        <v>24</v>
      </c>
      <c r="S485" s="242"/>
      <c r="T485" s="243"/>
      <c r="U485" s="360">
        <f t="shared" si="56"/>
        <v>97</v>
      </c>
      <c r="V485" s="365">
        <f t="shared" si="53"/>
        <v>97</v>
      </c>
      <c r="W485" s="366">
        <f t="shared" si="54"/>
        <v>0</v>
      </c>
      <c r="X485" s="362">
        <f t="shared" si="55"/>
        <v>97</v>
      </c>
      <c r="Y485" s="260"/>
      <c r="Z485" s="381"/>
      <c r="AA485" s="389"/>
    </row>
    <row r="486" spans="1:28" ht="107.4" x14ac:dyDescent="1.95">
      <c r="A486" s="23">
        <f>'MODIFICAR CODIGOS '!A486</f>
        <v>197823</v>
      </c>
      <c r="B486" s="271" t="str">
        <f>'MODIFICAR CODIGOS '!B486</f>
        <v>ESTIBA DE MADERA ISO VERDE</v>
      </c>
      <c r="C486" s="284">
        <f>'MODIFICAR CODIGOS '!C486</f>
        <v>20</v>
      </c>
      <c r="D486" s="23">
        <f>'MODIFICAR CODIGOS '!D486</f>
        <v>1</v>
      </c>
      <c r="E486" s="23">
        <f>'MODIFICAR CODIGOS '!E486</f>
        <v>1</v>
      </c>
      <c r="F486" s="242"/>
      <c r="G486" s="211"/>
      <c r="H486" s="211"/>
      <c r="I486" s="211"/>
      <c r="J486" s="211"/>
      <c r="K486" s="243"/>
      <c r="L486" s="242"/>
      <c r="M486" s="211"/>
      <c r="N486" s="211"/>
      <c r="O486" s="243"/>
      <c r="P486" s="215"/>
      <c r="Q486" s="211"/>
      <c r="R486" s="247">
        <v>41</v>
      </c>
      <c r="S486" s="242"/>
      <c r="T486" s="243"/>
      <c r="U486" s="360">
        <f t="shared" si="56"/>
        <v>41</v>
      </c>
      <c r="V486" s="365">
        <f t="shared" si="53"/>
        <v>41</v>
      </c>
      <c r="W486" s="366">
        <f t="shared" si="54"/>
        <v>0</v>
      </c>
      <c r="X486" s="362">
        <f t="shared" si="55"/>
        <v>41</v>
      </c>
      <c r="Y486" s="260"/>
      <c r="Z486" s="381"/>
      <c r="AA486" s="389"/>
    </row>
    <row r="487" spans="1:28" ht="107.4" x14ac:dyDescent="1.95">
      <c r="A487" s="23">
        <f>'MODIFICAR CODIGOS '!A487</f>
        <v>197815</v>
      </c>
      <c r="B487" s="271" t="str">
        <f>'MODIFICAR CODIGOS '!B487</f>
        <v xml:space="preserve">ESTIBA NEGRA ISO PLASTICA </v>
      </c>
      <c r="C487" s="284">
        <f>'MODIFICAR CODIGOS '!C487</f>
        <v>20</v>
      </c>
      <c r="D487" s="23">
        <f>'MODIFICAR CODIGOS '!D487</f>
        <v>1</v>
      </c>
      <c r="E487" s="23">
        <f>'MODIFICAR CODIGOS '!E487</f>
        <v>1</v>
      </c>
      <c r="F487" s="242"/>
      <c r="G487" s="211"/>
      <c r="H487" s="211"/>
      <c r="I487" s="211"/>
      <c r="J487" s="211">
        <v>10</v>
      </c>
      <c r="K487" s="243">
        <v>5</v>
      </c>
      <c r="L487" s="242"/>
      <c r="M487" s="211"/>
      <c r="N487" s="211"/>
      <c r="O487" s="243"/>
      <c r="P487" s="215">
        <v>82</v>
      </c>
      <c r="Q487" s="211">
        <v>60</v>
      </c>
      <c r="R487" s="247">
        <v>6</v>
      </c>
      <c r="S487" s="242"/>
      <c r="T487" s="243"/>
      <c r="U487" s="360">
        <f t="shared" si="56"/>
        <v>448</v>
      </c>
      <c r="V487" s="365">
        <f t="shared" si="53"/>
        <v>448</v>
      </c>
      <c r="W487" s="366">
        <f t="shared" si="54"/>
        <v>0</v>
      </c>
      <c r="X487" s="362">
        <f t="shared" si="55"/>
        <v>448</v>
      </c>
      <c r="Y487" s="260"/>
      <c r="Z487" s="381"/>
      <c r="AA487" s="389"/>
    </row>
    <row r="488" spans="1:28" ht="107.4" x14ac:dyDescent="1.95">
      <c r="A488" s="23">
        <f>'MODIFICAR CODIGOS '!A488</f>
        <v>197812</v>
      </c>
      <c r="B488" s="271" t="str">
        <f>'MODIFICAR CODIGOS '!B488</f>
        <v>ESTIBA MADERA AZUL</v>
      </c>
      <c r="C488" s="284">
        <f>'MODIFICAR CODIGOS '!C488</f>
        <v>20</v>
      </c>
      <c r="D488" s="23">
        <f>'MODIFICAR CODIGOS '!D488</f>
        <v>1</v>
      </c>
      <c r="E488" s="23">
        <f>'MODIFICAR CODIGOS '!E488</f>
        <v>1</v>
      </c>
      <c r="F488" s="242"/>
      <c r="G488" s="211"/>
      <c r="H488" s="211"/>
      <c r="I488" s="211"/>
      <c r="J488" s="211"/>
      <c r="K488" s="243"/>
      <c r="L488" s="242"/>
      <c r="M488" s="211"/>
      <c r="N488" s="211"/>
      <c r="O488" s="243"/>
      <c r="P488" s="215"/>
      <c r="Q488" s="211">
        <v>74</v>
      </c>
      <c r="R488" s="247"/>
      <c r="S488" s="242"/>
      <c r="T488" s="243"/>
      <c r="U488" s="360">
        <f t="shared" si="56"/>
        <v>74</v>
      </c>
      <c r="V488" s="365">
        <f t="shared" si="53"/>
        <v>74</v>
      </c>
      <c r="W488" s="366">
        <f t="shared" si="54"/>
        <v>0</v>
      </c>
      <c r="X488" s="362">
        <f t="shared" ref="X488:X489" si="57">V488+W488/E488</f>
        <v>74</v>
      </c>
      <c r="Y488" s="260"/>
      <c r="Z488" s="381"/>
      <c r="AA488" s="389"/>
    </row>
    <row r="489" spans="1:28" ht="108" hidden="1" thickBot="1" x14ac:dyDescent="2">
      <c r="A489" s="2"/>
      <c r="B489" s="273"/>
      <c r="C489" s="322"/>
      <c r="D489" s="306"/>
      <c r="E489" s="323"/>
      <c r="F489" s="244"/>
      <c r="G489" s="245"/>
      <c r="H489" s="245"/>
      <c r="I489" s="245"/>
      <c r="J489" s="245"/>
      <c r="K489" s="246"/>
      <c r="L489" s="244"/>
      <c r="M489" s="245"/>
      <c r="N489" s="245"/>
      <c r="O489" s="246"/>
      <c r="P489" s="215"/>
      <c r="Q489" s="211"/>
      <c r="R489" s="247"/>
      <c r="S489" s="244"/>
      <c r="T489" s="246"/>
      <c r="U489" s="360"/>
      <c r="V489" s="365" t="e">
        <f t="shared" si="53"/>
        <v>#DIV/0!</v>
      </c>
      <c r="W489" s="366" t="e">
        <f t="shared" si="54"/>
        <v>#DIV/0!</v>
      </c>
      <c r="X489" s="362" t="e">
        <f t="shared" si="57"/>
        <v>#DIV/0!</v>
      </c>
      <c r="Y489" s="262"/>
      <c r="Z489" s="382"/>
      <c r="AA489" s="390"/>
    </row>
    <row r="490" spans="1:28" x14ac:dyDescent="1.85">
      <c r="A490" s="4"/>
      <c r="B490" s="124"/>
      <c r="C490" s="39"/>
    </row>
  </sheetData>
  <autoFilter ref="A1:AA489" xr:uid="{00000000-0009-0000-0000-000001000000}">
    <filterColumn colId="0">
      <filters>
        <filter val="*"/>
        <filter val="120023"/>
        <filter val="120025"/>
        <filter val="120027"/>
        <filter val="120057"/>
        <filter val="120112"/>
        <filter val="120116"/>
        <filter val="120117"/>
        <filter val="120118"/>
        <filter val="120119"/>
        <filter val="120120"/>
        <filter val="120128"/>
        <filter val="120129"/>
        <filter val="120130"/>
        <filter val="120131"/>
        <filter val="120132"/>
        <filter val="120133"/>
        <filter val="120134"/>
        <filter val="120135"/>
        <filter val="120136"/>
        <filter val="120137"/>
        <filter val="120156"/>
        <filter val="120158"/>
        <filter val="120159"/>
        <filter val="120160"/>
        <filter val="120175"/>
        <filter val="120181"/>
        <filter val="120182"/>
        <filter val="120183"/>
        <filter val="120184"/>
        <filter val="120185"/>
        <filter val="120188"/>
        <filter val="120190"/>
        <filter val="120191"/>
        <filter val="120193"/>
        <filter val="120194"/>
        <filter val="120196"/>
        <filter val="120202"/>
        <filter val="120207"/>
        <filter val="135662"/>
        <filter val="135663"/>
        <filter val="135664"/>
        <filter val="135666"/>
        <filter val="135675"/>
        <filter val="135676"/>
        <filter val="135678"/>
        <filter val="135685"/>
        <filter val="135755"/>
        <filter val="135757"/>
        <filter val="135759"/>
        <filter val="135760"/>
        <filter val="135761"/>
        <filter val="135762"/>
        <filter val="135763"/>
        <filter val="135766"/>
        <filter val="135767"/>
        <filter val="135770"/>
        <filter val="135772"/>
        <filter val="136020"/>
        <filter val="136024"/>
        <filter val="136027"/>
        <filter val="136113"/>
        <filter val="136133"/>
        <filter val="136159"/>
        <filter val="136204"/>
        <filter val="136247"/>
        <filter val="136399"/>
        <filter val="136402"/>
        <filter val="136461"/>
        <filter val="136462"/>
        <filter val="136465"/>
        <filter val="136466"/>
        <filter val="136467"/>
        <filter val="136468"/>
        <filter val="136474"/>
        <filter val="136475"/>
        <filter val="136478"/>
        <filter val="136479"/>
        <filter val="136487"/>
        <filter val="136559"/>
        <filter val="136560"/>
        <filter val="136561"/>
        <filter val="136622"/>
        <filter val="136623"/>
        <filter val="136656"/>
        <filter val="136675"/>
        <filter val="136689"/>
        <filter val="136690"/>
        <filter val="136700"/>
        <filter val="136701"/>
        <filter val="136712"/>
        <filter val="136730"/>
        <filter val="160008"/>
        <filter val="160014"/>
        <filter val="160029"/>
        <filter val="160033"/>
        <filter val="160040"/>
        <filter val="160046"/>
        <filter val="160047"/>
        <filter val="160048"/>
        <filter val="160052"/>
        <filter val="160053"/>
        <filter val="160054"/>
        <filter val="160060"/>
        <filter val="160063"/>
        <filter val="160069"/>
        <filter val="160070"/>
        <filter val="160080"/>
        <filter val="160081"/>
        <filter val="160099"/>
        <filter val="160100"/>
        <filter val="160101"/>
        <filter val="160102"/>
        <filter val="160121"/>
        <filter val="160122"/>
        <filter val="160124"/>
        <filter val="160151"/>
        <filter val="160168"/>
        <filter val="160170"/>
        <filter val="160186"/>
        <filter val="160187"/>
        <filter val="160188"/>
        <filter val="160192"/>
        <filter val="160200"/>
        <filter val="160201"/>
        <filter val="160223"/>
        <filter val="160240"/>
        <filter val="160241"/>
        <filter val="160259"/>
        <filter val="160289"/>
        <filter val="160297"/>
        <filter val="160318"/>
        <filter val="160378"/>
        <filter val="160479"/>
        <filter val="183131"/>
        <filter val="184001"/>
        <filter val="184002"/>
        <filter val="184003"/>
        <filter val="184008"/>
        <filter val="184009"/>
        <filter val="184013"/>
        <filter val="184016"/>
        <filter val="184017"/>
        <filter val="184019"/>
        <filter val="184020"/>
        <filter val="184022"/>
        <filter val="184025"/>
        <filter val="184026"/>
        <filter val="184030"/>
        <filter val="184035"/>
        <filter val="184038"/>
        <filter val="184041"/>
        <filter val="197792"/>
        <filter val="197794"/>
        <filter val="197812"/>
        <filter val="197815"/>
        <filter val="197823"/>
        <filter val="197826"/>
        <filter val="56452"/>
        <filter val="56453"/>
        <filter val="56490"/>
        <filter val="56498"/>
        <filter val="56622"/>
        <filter val="56623"/>
        <filter val="56625"/>
        <filter val="56627"/>
        <filter val="56651"/>
        <filter val="56702"/>
        <filter val="56705"/>
        <filter val="56706"/>
        <filter val="56709"/>
        <filter val="56711"/>
        <filter val="56751"/>
        <filter val="56781"/>
        <filter val="56820"/>
        <filter val="56841"/>
        <filter val="56842"/>
        <filter val="92736"/>
        <filter val="92740"/>
        <filter val="92757"/>
        <filter val="92764"/>
        <filter val="92768"/>
        <filter val="92769"/>
        <filter val="92770"/>
        <filter val="92787"/>
        <filter val="92793"/>
        <filter val="92794"/>
        <filter val="92795"/>
        <filter val="92881"/>
        <filter val="CODIGO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8" showButton="0"/>
  </autoFilter>
  <mergeCells count="28">
    <mergeCell ref="S1:T1"/>
    <mergeCell ref="F1:K1"/>
    <mergeCell ref="L1:O1"/>
    <mergeCell ref="P1:R1"/>
    <mergeCell ref="F61:K61"/>
    <mergeCell ref="L61:O61"/>
    <mergeCell ref="P61:R61"/>
    <mergeCell ref="S61:T61"/>
    <mergeCell ref="F452:K452"/>
    <mergeCell ref="L452:O452"/>
    <mergeCell ref="P452:R452"/>
    <mergeCell ref="S452:T452"/>
    <mergeCell ref="F250:K250"/>
    <mergeCell ref="L250:O250"/>
    <mergeCell ref="P250:R250"/>
    <mergeCell ref="S250:T250"/>
    <mergeCell ref="F422:K422"/>
    <mergeCell ref="L422:O422"/>
    <mergeCell ref="P422:R422"/>
    <mergeCell ref="S422:T422"/>
    <mergeCell ref="F194:K194"/>
    <mergeCell ref="L194:O194"/>
    <mergeCell ref="P194:R194"/>
    <mergeCell ref="S194:T194"/>
    <mergeCell ref="F126:K126"/>
    <mergeCell ref="L126:O126"/>
    <mergeCell ref="P126:R126"/>
    <mergeCell ref="S126:T126"/>
  </mergeCells>
  <pageMargins left="0.7" right="0.7" top="0.75" bottom="0.75" header="0.3" footer="0.3"/>
  <pageSetup scale="10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81"/>
  <sheetViews>
    <sheetView topLeftCell="A5" workbookViewId="0">
      <selection activeCell="B167" sqref="B167"/>
    </sheetView>
  </sheetViews>
  <sheetFormatPr baseColWidth="10" defaultColWidth="11.44140625" defaultRowHeight="14.4" x14ac:dyDescent="0.3"/>
  <cols>
    <col min="1" max="1" width="12.21875" style="136" bestFit="1" customWidth="1"/>
    <col min="2" max="2" width="39.88671875" customWidth="1"/>
    <col min="3" max="3" width="12.5546875" customWidth="1"/>
    <col min="4" max="4" width="18.5546875" style="138" customWidth="1"/>
    <col min="5" max="5" width="25.88671875" customWidth="1"/>
    <col min="6" max="6" width="11.77734375" style="326" customWidth="1"/>
    <col min="7" max="8" width="11.44140625" style="326"/>
    <col min="9" max="9" width="11.44140625" style="330"/>
    <col min="258" max="258" width="12.21875" bestFit="1" customWidth="1"/>
    <col min="259" max="259" width="39.88671875" customWidth="1"/>
    <col min="260" max="260" width="12.5546875" customWidth="1"/>
    <col min="261" max="261" width="13.5546875" customWidth="1"/>
    <col min="262" max="262" width="33.5546875" bestFit="1" customWidth="1"/>
    <col min="263" max="263" width="11.77734375" customWidth="1"/>
    <col min="514" max="514" width="12.21875" bestFit="1" customWidth="1"/>
    <col min="515" max="515" width="39.88671875" customWidth="1"/>
    <col min="516" max="516" width="12.5546875" customWidth="1"/>
    <col min="517" max="517" width="13.5546875" customWidth="1"/>
    <col min="518" max="518" width="33.5546875" bestFit="1" customWidth="1"/>
    <col min="519" max="519" width="11.77734375" customWidth="1"/>
    <col min="770" max="770" width="12.21875" bestFit="1" customWidth="1"/>
    <col min="771" max="771" width="39.88671875" customWidth="1"/>
    <col min="772" max="772" width="12.5546875" customWidth="1"/>
    <col min="773" max="773" width="13.5546875" customWidth="1"/>
    <col min="774" max="774" width="33.5546875" bestFit="1" customWidth="1"/>
    <col min="775" max="775" width="11.77734375" customWidth="1"/>
    <col min="1026" max="1026" width="12.21875" bestFit="1" customWidth="1"/>
    <col min="1027" max="1027" width="39.88671875" customWidth="1"/>
    <col min="1028" max="1028" width="12.5546875" customWidth="1"/>
    <col min="1029" max="1029" width="13.5546875" customWidth="1"/>
    <col min="1030" max="1030" width="33.5546875" bestFit="1" customWidth="1"/>
    <col min="1031" max="1031" width="11.77734375" customWidth="1"/>
    <col min="1282" max="1282" width="12.21875" bestFit="1" customWidth="1"/>
    <col min="1283" max="1283" width="39.88671875" customWidth="1"/>
    <col min="1284" max="1284" width="12.5546875" customWidth="1"/>
    <col min="1285" max="1285" width="13.5546875" customWidth="1"/>
    <col min="1286" max="1286" width="33.5546875" bestFit="1" customWidth="1"/>
    <col min="1287" max="1287" width="11.77734375" customWidth="1"/>
    <col min="1538" max="1538" width="12.21875" bestFit="1" customWidth="1"/>
    <col min="1539" max="1539" width="39.88671875" customWidth="1"/>
    <col min="1540" max="1540" width="12.5546875" customWidth="1"/>
    <col min="1541" max="1541" width="13.5546875" customWidth="1"/>
    <col min="1542" max="1542" width="33.5546875" bestFit="1" customWidth="1"/>
    <col min="1543" max="1543" width="11.77734375" customWidth="1"/>
    <col min="1794" max="1794" width="12.21875" bestFit="1" customWidth="1"/>
    <col min="1795" max="1795" width="39.88671875" customWidth="1"/>
    <col min="1796" max="1796" width="12.5546875" customWidth="1"/>
    <col min="1797" max="1797" width="13.5546875" customWidth="1"/>
    <col min="1798" max="1798" width="33.5546875" bestFit="1" customWidth="1"/>
    <col min="1799" max="1799" width="11.77734375" customWidth="1"/>
    <col min="2050" max="2050" width="12.21875" bestFit="1" customWidth="1"/>
    <col min="2051" max="2051" width="39.88671875" customWidth="1"/>
    <col min="2052" max="2052" width="12.5546875" customWidth="1"/>
    <col min="2053" max="2053" width="13.5546875" customWidth="1"/>
    <col min="2054" max="2054" width="33.5546875" bestFit="1" customWidth="1"/>
    <col min="2055" max="2055" width="11.77734375" customWidth="1"/>
    <col min="2306" max="2306" width="12.21875" bestFit="1" customWidth="1"/>
    <col min="2307" max="2307" width="39.88671875" customWidth="1"/>
    <col min="2308" max="2308" width="12.5546875" customWidth="1"/>
    <col min="2309" max="2309" width="13.5546875" customWidth="1"/>
    <col min="2310" max="2310" width="33.5546875" bestFit="1" customWidth="1"/>
    <col min="2311" max="2311" width="11.77734375" customWidth="1"/>
    <col min="2562" max="2562" width="12.21875" bestFit="1" customWidth="1"/>
    <col min="2563" max="2563" width="39.88671875" customWidth="1"/>
    <col min="2564" max="2564" width="12.5546875" customWidth="1"/>
    <col min="2565" max="2565" width="13.5546875" customWidth="1"/>
    <col min="2566" max="2566" width="33.5546875" bestFit="1" customWidth="1"/>
    <col min="2567" max="2567" width="11.77734375" customWidth="1"/>
    <col min="2818" max="2818" width="12.21875" bestFit="1" customWidth="1"/>
    <col min="2819" max="2819" width="39.88671875" customWidth="1"/>
    <col min="2820" max="2820" width="12.5546875" customWidth="1"/>
    <col min="2821" max="2821" width="13.5546875" customWidth="1"/>
    <col min="2822" max="2822" width="33.5546875" bestFit="1" customWidth="1"/>
    <col min="2823" max="2823" width="11.77734375" customWidth="1"/>
    <col min="3074" max="3074" width="12.21875" bestFit="1" customWidth="1"/>
    <col min="3075" max="3075" width="39.88671875" customWidth="1"/>
    <col min="3076" max="3076" width="12.5546875" customWidth="1"/>
    <col min="3077" max="3077" width="13.5546875" customWidth="1"/>
    <col min="3078" max="3078" width="33.5546875" bestFit="1" customWidth="1"/>
    <col min="3079" max="3079" width="11.77734375" customWidth="1"/>
    <col min="3330" max="3330" width="12.21875" bestFit="1" customWidth="1"/>
    <col min="3331" max="3331" width="39.88671875" customWidth="1"/>
    <col min="3332" max="3332" width="12.5546875" customWidth="1"/>
    <col min="3333" max="3333" width="13.5546875" customWidth="1"/>
    <col min="3334" max="3334" width="33.5546875" bestFit="1" customWidth="1"/>
    <col min="3335" max="3335" width="11.77734375" customWidth="1"/>
    <col min="3586" max="3586" width="12.21875" bestFit="1" customWidth="1"/>
    <col min="3587" max="3587" width="39.88671875" customWidth="1"/>
    <col min="3588" max="3588" width="12.5546875" customWidth="1"/>
    <col min="3589" max="3589" width="13.5546875" customWidth="1"/>
    <col min="3590" max="3590" width="33.5546875" bestFit="1" customWidth="1"/>
    <col min="3591" max="3591" width="11.77734375" customWidth="1"/>
    <col min="3842" max="3842" width="12.21875" bestFit="1" customWidth="1"/>
    <col min="3843" max="3843" width="39.88671875" customWidth="1"/>
    <col min="3844" max="3844" width="12.5546875" customWidth="1"/>
    <col min="3845" max="3845" width="13.5546875" customWidth="1"/>
    <col min="3846" max="3846" width="33.5546875" bestFit="1" customWidth="1"/>
    <col min="3847" max="3847" width="11.77734375" customWidth="1"/>
    <col min="4098" max="4098" width="12.21875" bestFit="1" customWidth="1"/>
    <col min="4099" max="4099" width="39.88671875" customWidth="1"/>
    <col min="4100" max="4100" width="12.5546875" customWidth="1"/>
    <col min="4101" max="4101" width="13.5546875" customWidth="1"/>
    <col min="4102" max="4102" width="33.5546875" bestFit="1" customWidth="1"/>
    <col min="4103" max="4103" width="11.77734375" customWidth="1"/>
    <col min="4354" max="4354" width="12.21875" bestFit="1" customWidth="1"/>
    <col min="4355" max="4355" width="39.88671875" customWidth="1"/>
    <col min="4356" max="4356" width="12.5546875" customWidth="1"/>
    <col min="4357" max="4357" width="13.5546875" customWidth="1"/>
    <col min="4358" max="4358" width="33.5546875" bestFit="1" customWidth="1"/>
    <col min="4359" max="4359" width="11.77734375" customWidth="1"/>
    <col min="4610" max="4610" width="12.21875" bestFit="1" customWidth="1"/>
    <col min="4611" max="4611" width="39.88671875" customWidth="1"/>
    <col min="4612" max="4612" width="12.5546875" customWidth="1"/>
    <col min="4613" max="4613" width="13.5546875" customWidth="1"/>
    <col min="4614" max="4614" width="33.5546875" bestFit="1" customWidth="1"/>
    <col min="4615" max="4615" width="11.77734375" customWidth="1"/>
    <col min="4866" max="4866" width="12.21875" bestFit="1" customWidth="1"/>
    <col min="4867" max="4867" width="39.88671875" customWidth="1"/>
    <col min="4868" max="4868" width="12.5546875" customWidth="1"/>
    <col min="4869" max="4869" width="13.5546875" customWidth="1"/>
    <col min="4870" max="4870" width="33.5546875" bestFit="1" customWidth="1"/>
    <col min="4871" max="4871" width="11.77734375" customWidth="1"/>
    <col min="5122" max="5122" width="12.21875" bestFit="1" customWidth="1"/>
    <col min="5123" max="5123" width="39.88671875" customWidth="1"/>
    <col min="5124" max="5124" width="12.5546875" customWidth="1"/>
    <col min="5125" max="5125" width="13.5546875" customWidth="1"/>
    <col min="5126" max="5126" width="33.5546875" bestFit="1" customWidth="1"/>
    <col min="5127" max="5127" width="11.77734375" customWidth="1"/>
    <col min="5378" max="5378" width="12.21875" bestFit="1" customWidth="1"/>
    <col min="5379" max="5379" width="39.88671875" customWidth="1"/>
    <col min="5380" max="5380" width="12.5546875" customWidth="1"/>
    <col min="5381" max="5381" width="13.5546875" customWidth="1"/>
    <col min="5382" max="5382" width="33.5546875" bestFit="1" customWidth="1"/>
    <col min="5383" max="5383" width="11.77734375" customWidth="1"/>
    <col min="5634" max="5634" width="12.21875" bestFit="1" customWidth="1"/>
    <col min="5635" max="5635" width="39.88671875" customWidth="1"/>
    <col min="5636" max="5636" width="12.5546875" customWidth="1"/>
    <col min="5637" max="5637" width="13.5546875" customWidth="1"/>
    <col min="5638" max="5638" width="33.5546875" bestFit="1" customWidth="1"/>
    <col min="5639" max="5639" width="11.77734375" customWidth="1"/>
    <col min="5890" max="5890" width="12.21875" bestFit="1" customWidth="1"/>
    <col min="5891" max="5891" width="39.88671875" customWidth="1"/>
    <col min="5892" max="5892" width="12.5546875" customWidth="1"/>
    <col min="5893" max="5893" width="13.5546875" customWidth="1"/>
    <col min="5894" max="5894" width="33.5546875" bestFit="1" customWidth="1"/>
    <col min="5895" max="5895" width="11.77734375" customWidth="1"/>
    <col min="6146" max="6146" width="12.21875" bestFit="1" customWidth="1"/>
    <col min="6147" max="6147" width="39.88671875" customWidth="1"/>
    <col min="6148" max="6148" width="12.5546875" customWidth="1"/>
    <col min="6149" max="6149" width="13.5546875" customWidth="1"/>
    <col min="6150" max="6150" width="33.5546875" bestFit="1" customWidth="1"/>
    <col min="6151" max="6151" width="11.77734375" customWidth="1"/>
    <col min="6402" max="6402" width="12.21875" bestFit="1" customWidth="1"/>
    <col min="6403" max="6403" width="39.88671875" customWidth="1"/>
    <col min="6404" max="6404" width="12.5546875" customWidth="1"/>
    <col min="6405" max="6405" width="13.5546875" customWidth="1"/>
    <col min="6406" max="6406" width="33.5546875" bestFit="1" customWidth="1"/>
    <col min="6407" max="6407" width="11.77734375" customWidth="1"/>
    <col min="6658" max="6658" width="12.21875" bestFit="1" customWidth="1"/>
    <col min="6659" max="6659" width="39.88671875" customWidth="1"/>
    <col min="6660" max="6660" width="12.5546875" customWidth="1"/>
    <col min="6661" max="6661" width="13.5546875" customWidth="1"/>
    <col min="6662" max="6662" width="33.5546875" bestFit="1" customWidth="1"/>
    <col min="6663" max="6663" width="11.77734375" customWidth="1"/>
    <col min="6914" max="6914" width="12.21875" bestFit="1" customWidth="1"/>
    <col min="6915" max="6915" width="39.88671875" customWidth="1"/>
    <col min="6916" max="6916" width="12.5546875" customWidth="1"/>
    <col min="6917" max="6917" width="13.5546875" customWidth="1"/>
    <col min="6918" max="6918" width="33.5546875" bestFit="1" customWidth="1"/>
    <col min="6919" max="6919" width="11.77734375" customWidth="1"/>
    <col min="7170" max="7170" width="12.21875" bestFit="1" customWidth="1"/>
    <col min="7171" max="7171" width="39.88671875" customWidth="1"/>
    <col min="7172" max="7172" width="12.5546875" customWidth="1"/>
    <col min="7173" max="7173" width="13.5546875" customWidth="1"/>
    <col min="7174" max="7174" width="33.5546875" bestFit="1" customWidth="1"/>
    <col min="7175" max="7175" width="11.77734375" customWidth="1"/>
    <col min="7426" max="7426" width="12.21875" bestFit="1" customWidth="1"/>
    <col min="7427" max="7427" width="39.88671875" customWidth="1"/>
    <col min="7428" max="7428" width="12.5546875" customWidth="1"/>
    <col min="7429" max="7429" width="13.5546875" customWidth="1"/>
    <col min="7430" max="7430" width="33.5546875" bestFit="1" customWidth="1"/>
    <col min="7431" max="7431" width="11.77734375" customWidth="1"/>
    <col min="7682" max="7682" width="12.21875" bestFit="1" customWidth="1"/>
    <col min="7683" max="7683" width="39.88671875" customWidth="1"/>
    <col min="7684" max="7684" width="12.5546875" customWidth="1"/>
    <col min="7685" max="7685" width="13.5546875" customWidth="1"/>
    <col min="7686" max="7686" width="33.5546875" bestFit="1" customWidth="1"/>
    <col min="7687" max="7687" width="11.77734375" customWidth="1"/>
    <col min="7938" max="7938" width="12.21875" bestFit="1" customWidth="1"/>
    <col min="7939" max="7939" width="39.88671875" customWidth="1"/>
    <col min="7940" max="7940" width="12.5546875" customWidth="1"/>
    <col min="7941" max="7941" width="13.5546875" customWidth="1"/>
    <col min="7942" max="7942" width="33.5546875" bestFit="1" customWidth="1"/>
    <col min="7943" max="7943" width="11.77734375" customWidth="1"/>
    <col min="8194" max="8194" width="12.21875" bestFit="1" customWidth="1"/>
    <col min="8195" max="8195" width="39.88671875" customWidth="1"/>
    <col min="8196" max="8196" width="12.5546875" customWidth="1"/>
    <col min="8197" max="8197" width="13.5546875" customWidth="1"/>
    <col min="8198" max="8198" width="33.5546875" bestFit="1" customWidth="1"/>
    <col min="8199" max="8199" width="11.77734375" customWidth="1"/>
    <col min="8450" max="8450" width="12.21875" bestFit="1" customWidth="1"/>
    <col min="8451" max="8451" width="39.88671875" customWidth="1"/>
    <col min="8452" max="8452" width="12.5546875" customWidth="1"/>
    <col min="8453" max="8453" width="13.5546875" customWidth="1"/>
    <col min="8454" max="8454" width="33.5546875" bestFit="1" customWidth="1"/>
    <col min="8455" max="8455" width="11.77734375" customWidth="1"/>
    <col min="8706" max="8706" width="12.21875" bestFit="1" customWidth="1"/>
    <col min="8707" max="8707" width="39.88671875" customWidth="1"/>
    <col min="8708" max="8708" width="12.5546875" customWidth="1"/>
    <col min="8709" max="8709" width="13.5546875" customWidth="1"/>
    <col min="8710" max="8710" width="33.5546875" bestFit="1" customWidth="1"/>
    <col min="8711" max="8711" width="11.77734375" customWidth="1"/>
    <col min="8962" max="8962" width="12.21875" bestFit="1" customWidth="1"/>
    <col min="8963" max="8963" width="39.88671875" customWidth="1"/>
    <col min="8964" max="8964" width="12.5546875" customWidth="1"/>
    <col min="8965" max="8965" width="13.5546875" customWidth="1"/>
    <col min="8966" max="8966" width="33.5546875" bestFit="1" customWidth="1"/>
    <col min="8967" max="8967" width="11.77734375" customWidth="1"/>
    <col min="9218" max="9218" width="12.21875" bestFit="1" customWidth="1"/>
    <col min="9219" max="9219" width="39.88671875" customWidth="1"/>
    <col min="9220" max="9220" width="12.5546875" customWidth="1"/>
    <col min="9221" max="9221" width="13.5546875" customWidth="1"/>
    <col min="9222" max="9222" width="33.5546875" bestFit="1" customWidth="1"/>
    <col min="9223" max="9223" width="11.77734375" customWidth="1"/>
    <col min="9474" max="9474" width="12.21875" bestFit="1" customWidth="1"/>
    <col min="9475" max="9475" width="39.88671875" customWidth="1"/>
    <col min="9476" max="9476" width="12.5546875" customWidth="1"/>
    <col min="9477" max="9477" width="13.5546875" customWidth="1"/>
    <col min="9478" max="9478" width="33.5546875" bestFit="1" customWidth="1"/>
    <col min="9479" max="9479" width="11.77734375" customWidth="1"/>
    <col min="9730" max="9730" width="12.21875" bestFit="1" customWidth="1"/>
    <col min="9731" max="9731" width="39.88671875" customWidth="1"/>
    <col min="9732" max="9732" width="12.5546875" customWidth="1"/>
    <col min="9733" max="9733" width="13.5546875" customWidth="1"/>
    <col min="9734" max="9734" width="33.5546875" bestFit="1" customWidth="1"/>
    <col min="9735" max="9735" width="11.77734375" customWidth="1"/>
    <col min="9986" max="9986" width="12.21875" bestFit="1" customWidth="1"/>
    <col min="9987" max="9987" width="39.88671875" customWidth="1"/>
    <col min="9988" max="9988" width="12.5546875" customWidth="1"/>
    <col min="9989" max="9989" width="13.5546875" customWidth="1"/>
    <col min="9990" max="9990" width="33.5546875" bestFit="1" customWidth="1"/>
    <col min="9991" max="9991" width="11.77734375" customWidth="1"/>
    <col min="10242" max="10242" width="12.21875" bestFit="1" customWidth="1"/>
    <col min="10243" max="10243" width="39.88671875" customWidth="1"/>
    <col min="10244" max="10244" width="12.5546875" customWidth="1"/>
    <col min="10245" max="10245" width="13.5546875" customWidth="1"/>
    <col min="10246" max="10246" width="33.5546875" bestFit="1" customWidth="1"/>
    <col min="10247" max="10247" width="11.77734375" customWidth="1"/>
    <col min="10498" max="10498" width="12.21875" bestFit="1" customWidth="1"/>
    <col min="10499" max="10499" width="39.88671875" customWidth="1"/>
    <col min="10500" max="10500" width="12.5546875" customWidth="1"/>
    <col min="10501" max="10501" width="13.5546875" customWidth="1"/>
    <col min="10502" max="10502" width="33.5546875" bestFit="1" customWidth="1"/>
    <col min="10503" max="10503" width="11.77734375" customWidth="1"/>
    <col min="10754" max="10754" width="12.21875" bestFit="1" customWidth="1"/>
    <col min="10755" max="10755" width="39.88671875" customWidth="1"/>
    <col min="10756" max="10756" width="12.5546875" customWidth="1"/>
    <col min="10757" max="10757" width="13.5546875" customWidth="1"/>
    <col min="10758" max="10758" width="33.5546875" bestFit="1" customWidth="1"/>
    <col min="10759" max="10759" width="11.77734375" customWidth="1"/>
    <col min="11010" max="11010" width="12.21875" bestFit="1" customWidth="1"/>
    <col min="11011" max="11011" width="39.88671875" customWidth="1"/>
    <col min="11012" max="11012" width="12.5546875" customWidth="1"/>
    <col min="11013" max="11013" width="13.5546875" customWidth="1"/>
    <col min="11014" max="11014" width="33.5546875" bestFit="1" customWidth="1"/>
    <col min="11015" max="11015" width="11.77734375" customWidth="1"/>
    <col min="11266" max="11266" width="12.21875" bestFit="1" customWidth="1"/>
    <col min="11267" max="11267" width="39.88671875" customWidth="1"/>
    <col min="11268" max="11268" width="12.5546875" customWidth="1"/>
    <col min="11269" max="11269" width="13.5546875" customWidth="1"/>
    <col min="11270" max="11270" width="33.5546875" bestFit="1" customWidth="1"/>
    <col min="11271" max="11271" width="11.77734375" customWidth="1"/>
    <col min="11522" max="11522" width="12.21875" bestFit="1" customWidth="1"/>
    <col min="11523" max="11523" width="39.88671875" customWidth="1"/>
    <col min="11524" max="11524" width="12.5546875" customWidth="1"/>
    <col min="11525" max="11525" width="13.5546875" customWidth="1"/>
    <col min="11526" max="11526" width="33.5546875" bestFit="1" customWidth="1"/>
    <col min="11527" max="11527" width="11.77734375" customWidth="1"/>
    <col min="11778" max="11778" width="12.21875" bestFit="1" customWidth="1"/>
    <col min="11779" max="11779" width="39.88671875" customWidth="1"/>
    <col min="11780" max="11780" width="12.5546875" customWidth="1"/>
    <col min="11781" max="11781" width="13.5546875" customWidth="1"/>
    <col min="11782" max="11782" width="33.5546875" bestFit="1" customWidth="1"/>
    <col min="11783" max="11783" width="11.77734375" customWidth="1"/>
    <col min="12034" max="12034" width="12.21875" bestFit="1" customWidth="1"/>
    <col min="12035" max="12035" width="39.88671875" customWidth="1"/>
    <col min="12036" max="12036" width="12.5546875" customWidth="1"/>
    <col min="12037" max="12037" width="13.5546875" customWidth="1"/>
    <col min="12038" max="12038" width="33.5546875" bestFit="1" customWidth="1"/>
    <col min="12039" max="12039" width="11.77734375" customWidth="1"/>
    <col min="12290" max="12290" width="12.21875" bestFit="1" customWidth="1"/>
    <col min="12291" max="12291" width="39.88671875" customWidth="1"/>
    <col min="12292" max="12292" width="12.5546875" customWidth="1"/>
    <col min="12293" max="12293" width="13.5546875" customWidth="1"/>
    <col min="12294" max="12294" width="33.5546875" bestFit="1" customWidth="1"/>
    <col min="12295" max="12295" width="11.77734375" customWidth="1"/>
    <col min="12546" max="12546" width="12.21875" bestFit="1" customWidth="1"/>
    <col min="12547" max="12547" width="39.88671875" customWidth="1"/>
    <col min="12548" max="12548" width="12.5546875" customWidth="1"/>
    <col min="12549" max="12549" width="13.5546875" customWidth="1"/>
    <col min="12550" max="12550" width="33.5546875" bestFit="1" customWidth="1"/>
    <col min="12551" max="12551" width="11.77734375" customWidth="1"/>
    <col min="12802" max="12802" width="12.21875" bestFit="1" customWidth="1"/>
    <col min="12803" max="12803" width="39.88671875" customWidth="1"/>
    <col min="12804" max="12804" width="12.5546875" customWidth="1"/>
    <col min="12805" max="12805" width="13.5546875" customWidth="1"/>
    <col min="12806" max="12806" width="33.5546875" bestFit="1" customWidth="1"/>
    <col min="12807" max="12807" width="11.77734375" customWidth="1"/>
    <col min="13058" max="13058" width="12.21875" bestFit="1" customWidth="1"/>
    <col min="13059" max="13059" width="39.88671875" customWidth="1"/>
    <col min="13060" max="13060" width="12.5546875" customWidth="1"/>
    <col min="13061" max="13061" width="13.5546875" customWidth="1"/>
    <col min="13062" max="13062" width="33.5546875" bestFit="1" customWidth="1"/>
    <col min="13063" max="13063" width="11.77734375" customWidth="1"/>
    <col min="13314" max="13314" width="12.21875" bestFit="1" customWidth="1"/>
    <col min="13315" max="13315" width="39.88671875" customWidth="1"/>
    <col min="13316" max="13316" width="12.5546875" customWidth="1"/>
    <col min="13317" max="13317" width="13.5546875" customWidth="1"/>
    <col min="13318" max="13318" width="33.5546875" bestFit="1" customWidth="1"/>
    <col min="13319" max="13319" width="11.77734375" customWidth="1"/>
    <col min="13570" max="13570" width="12.21875" bestFit="1" customWidth="1"/>
    <col min="13571" max="13571" width="39.88671875" customWidth="1"/>
    <col min="13572" max="13572" width="12.5546875" customWidth="1"/>
    <col min="13573" max="13573" width="13.5546875" customWidth="1"/>
    <col min="13574" max="13574" width="33.5546875" bestFit="1" customWidth="1"/>
    <col min="13575" max="13575" width="11.77734375" customWidth="1"/>
    <col min="13826" max="13826" width="12.21875" bestFit="1" customWidth="1"/>
    <col min="13827" max="13827" width="39.88671875" customWidth="1"/>
    <col min="13828" max="13828" width="12.5546875" customWidth="1"/>
    <col min="13829" max="13829" width="13.5546875" customWidth="1"/>
    <col min="13830" max="13830" width="33.5546875" bestFit="1" customWidth="1"/>
    <col min="13831" max="13831" width="11.77734375" customWidth="1"/>
    <col min="14082" max="14082" width="12.21875" bestFit="1" customWidth="1"/>
    <col min="14083" max="14083" width="39.88671875" customWidth="1"/>
    <col min="14084" max="14084" width="12.5546875" customWidth="1"/>
    <col min="14085" max="14085" width="13.5546875" customWidth="1"/>
    <col min="14086" max="14086" width="33.5546875" bestFit="1" customWidth="1"/>
    <col min="14087" max="14087" width="11.77734375" customWidth="1"/>
    <col min="14338" max="14338" width="12.21875" bestFit="1" customWidth="1"/>
    <col min="14339" max="14339" width="39.88671875" customWidth="1"/>
    <col min="14340" max="14340" width="12.5546875" customWidth="1"/>
    <col min="14341" max="14341" width="13.5546875" customWidth="1"/>
    <col min="14342" max="14342" width="33.5546875" bestFit="1" customWidth="1"/>
    <col min="14343" max="14343" width="11.77734375" customWidth="1"/>
    <col min="14594" max="14594" width="12.21875" bestFit="1" customWidth="1"/>
    <col min="14595" max="14595" width="39.88671875" customWidth="1"/>
    <col min="14596" max="14596" width="12.5546875" customWidth="1"/>
    <col min="14597" max="14597" width="13.5546875" customWidth="1"/>
    <col min="14598" max="14598" width="33.5546875" bestFit="1" customWidth="1"/>
    <col min="14599" max="14599" width="11.77734375" customWidth="1"/>
    <col min="14850" max="14850" width="12.21875" bestFit="1" customWidth="1"/>
    <col min="14851" max="14851" width="39.88671875" customWidth="1"/>
    <col min="14852" max="14852" width="12.5546875" customWidth="1"/>
    <col min="14853" max="14853" width="13.5546875" customWidth="1"/>
    <col min="14854" max="14854" width="33.5546875" bestFit="1" customWidth="1"/>
    <col min="14855" max="14855" width="11.77734375" customWidth="1"/>
    <col min="15106" max="15106" width="12.21875" bestFit="1" customWidth="1"/>
    <col min="15107" max="15107" width="39.88671875" customWidth="1"/>
    <col min="15108" max="15108" width="12.5546875" customWidth="1"/>
    <col min="15109" max="15109" width="13.5546875" customWidth="1"/>
    <col min="15110" max="15110" width="33.5546875" bestFit="1" customWidth="1"/>
    <col min="15111" max="15111" width="11.77734375" customWidth="1"/>
    <col min="15362" max="15362" width="12.21875" bestFit="1" customWidth="1"/>
    <col min="15363" max="15363" width="39.88671875" customWidth="1"/>
    <col min="15364" max="15364" width="12.5546875" customWidth="1"/>
    <col min="15365" max="15365" width="13.5546875" customWidth="1"/>
    <col min="15366" max="15366" width="33.5546875" bestFit="1" customWidth="1"/>
    <col min="15367" max="15367" width="11.77734375" customWidth="1"/>
    <col min="15618" max="15618" width="12.21875" bestFit="1" customWidth="1"/>
    <col min="15619" max="15619" width="39.88671875" customWidth="1"/>
    <col min="15620" max="15620" width="12.5546875" customWidth="1"/>
    <col min="15621" max="15621" width="13.5546875" customWidth="1"/>
    <col min="15622" max="15622" width="33.5546875" bestFit="1" customWidth="1"/>
    <col min="15623" max="15623" width="11.77734375" customWidth="1"/>
    <col min="15874" max="15874" width="12.21875" bestFit="1" customWidth="1"/>
    <col min="15875" max="15875" width="39.88671875" customWidth="1"/>
    <col min="15876" max="15876" width="12.5546875" customWidth="1"/>
    <col min="15877" max="15877" width="13.5546875" customWidth="1"/>
    <col min="15878" max="15878" width="33.5546875" bestFit="1" customWidth="1"/>
    <col min="15879" max="15879" width="11.77734375" customWidth="1"/>
    <col min="16130" max="16130" width="12.21875" bestFit="1" customWidth="1"/>
    <col min="16131" max="16131" width="39.88671875" customWidth="1"/>
    <col min="16132" max="16132" width="12.5546875" customWidth="1"/>
    <col min="16133" max="16133" width="13.5546875" customWidth="1"/>
    <col min="16134" max="16134" width="33.5546875" bestFit="1" customWidth="1"/>
    <col min="16135" max="16135" width="11.77734375" customWidth="1"/>
  </cols>
  <sheetData>
    <row r="1" spans="1:11" s="189" customFormat="1" ht="17.399999999999999" x14ac:dyDescent="0.25">
      <c r="A1" s="187"/>
      <c r="B1" s="187"/>
      <c r="C1" s="187"/>
      <c r="D1" s="188" t="s">
        <v>397</v>
      </c>
      <c r="E1" s="187"/>
      <c r="F1" s="324"/>
      <c r="G1" s="324"/>
      <c r="H1" s="324"/>
      <c r="I1" s="327"/>
    </row>
    <row r="2" spans="1:11" s="189" customFormat="1" ht="17.399999999999999" x14ac:dyDescent="0.25">
      <c r="A2" s="413" t="s">
        <v>398</v>
      </c>
      <c r="B2" s="413"/>
      <c r="C2" s="187"/>
      <c r="D2" s="188"/>
      <c r="E2" s="187"/>
      <c r="F2" s="324"/>
      <c r="G2" s="324"/>
      <c r="H2" s="324"/>
      <c r="I2" s="327"/>
    </row>
    <row r="3" spans="1:11" s="189" customFormat="1" ht="21" customHeight="1" thickBot="1" x14ac:dyDescent="0.3">
      <c r="A3" s="190"/>
      <c r="B3" s="190"/>
      <c r="C3" s="190"/>
      <c r="D3" s="191" t="s">
        <v>427</v>
      </c>
      <c r="E3" s="190"/>
      <c r="F3" s="324"/>
      <c r="G3" s="324"/>
      <c r="H3" s="324"/>
      <c r="I3" s="327"/>
    </row>
    <row r="4" spans="1:11" s="130" customFormat="1" ht="24.75" customHeight="1" thickBot="1" x14ac:dyDescent="0.3">
      <c r="A4" s="126"/>
      <c r="B4" s="127" t="s">
        <v>399</v>
      </c>
      <c r="C4" s="128">
        <v>43165</v>
      </c>
      <c r="D4" s="336" t="s">
        <v>426</v>
      </c>
      <c r="E4" s="129"/>
      <c r="F4" s="325"/>
      <c r="G4" s="325"/>
      <c r="H4" s="325"/>
      <c r="I4" s="328"/>
    </row>
    <row r="5" spans="1:11" s="131" customFormat="1" ht="18.75" customHeight="1" x14ac:dyDescent="0.25">
      <c r="A5" s="331" t="s">
        <v>400</v>
      </c>
      <c r="B5" s="331" t="s">
        <v>401</v>
      </c>
      <c r="C5" s="331" t="s">
        <v>418</v>
      </c>
      <c r="D5" s="332" t="s">
        <v>402</v>
      </c>
      <c r="F5" s="329" t="s">
        <v>419</v>
      </c>
      <c r="G5" s="329" t="s">
        <v>420</v>
      </c>
      <c r="H5" s="329" t="s">
        <v>421</v>
      </c>
      <c r="I5" s="329" t="s">
        <v>422</v>
      </c>
    </row>
    <row r="6" spans="1:11" ht="15" customHeight="1" x14ac:dyDescent="0.3">
      <c r="A6" s="350">
        <f>'PLANTILLA INV. PISO (0)'!A2</f>
        <v>160052</v>
      </c>
      <c r="B6" s="350" t="str">
        <f>'PLANTILLA INV. PISO (0)'!B2</f>
        <v>COCA-COLA 6,5OZ VIR(30)</v>
      </c>
      <c r="C6" s="351">
        <f>'MODIFICAR CODIGOS '!E2</f>
        <v>30</v>
      </c>
      <c r="D6" s="352">
        <f>'PLANTILLA INV. PISO (0)'!U2</f>
        <v>99.05</v>
      </c>
      <c r="E6" s="132"/>
      <c r="F6" s="339">
        <f>ROUNDDOWN(D6,0)</f>
        <v>99</v>
      </c>
      <c r="G6" s="340">
        <f>+(D6-F6)*100</f>
        <v>4.9999999999997158</v>
      </c>
      <c r="H6" s="341">
        <f>G6/C6</f>
        <v>0.16666666666665719</v>
      </c>
      <c r="I6" s="342">
        <f>F6+H6</f>
        <v>99.166666666666657</v>
      </c>
      <c r="J6" s="186"/>
      <c r="K6" s="333">
        <f>'PLANTILLA INV. PISO (0)'!AA2</f>
        <v>46178</v>
      </c>
    </row>
    <row r="7" spans="1:11" ht="15" customHeight="1" x14ac:dyDescent="0.3">
      <c r="A7" s="350">
        <f>'PLANTILLA INV. PISO (0)'!A3</f>
        <v>0</v>
      </c>
      <c r="B7" s="350">
        <f>'PLANTILLA INV. PISO (0)'!B3</f>
        <v>0</v>
      </c>
      <c r="C7" s="351">
        <f>'MODIFICAR CODIGOS '!E3</f>
        <v>30</v>
      </c>
      <c r="D7" s="352">
        <f>'PLANTILLA INV. PISO (0)'!U3</f>
        <v>0</v>
      </c>
      <c r="E7" s="132"/>
      <c r="F7" s="339">
        <f t="shared" ref="F7:F70" si="0">ROUNDDOWN(D7,0)</f>
        <v>0</v>
      </c>
      <c r="G7" s="340">
        <f t="shared" ref="G7:G70" si="1">+(D7-F7)*100</f>
        <v>0</v>
      </c>
      <c r="H7" s="341">
        <f t="shared" ref="H7:H70" si="2">G7/C7</f>
        <v>0</v>
      </c>
      <c r="I7" s="342">
        <f t="shared" ref="I7:I70" si="3">F7+H7</f>
        <v>0</v>
      </c>
      <c r="J7" s="186"/>
      <c r="K7" s="333">
        <f>'PLANTILLA INV. PISO (0)'!AA3</f>
        <v>0</v>
      </c>
    </row>
    <row r="8" spans="1:11" ht="15" customHeight="1" x14ac:dyDescent="0.3">
      <c r="A8" s="350">
        <f>'PLANTILLA INV. PISO (0)'!A4</f>
        <v>56702</v>
      </c>
      <c r="B8" s="350" t="str">
        <f>'PLANTILLA INV. PISO (0)'!B4</f>
        <v>QUATRO TJA 6,5OZ VIR(30)</v>
      </c>
      <c r="C8" s="351">
        <f>'MODIFICAR CODIGOS '!E4</f>
        <v>30</v>
      </c>
      <c r="D8" s="352">
        <f>'PLANTILLA INV. PISO (0)'!U4</f>
        <v>58.21</v>
      </c>
      <c r="E8" s="132"/>
      <c r="F8" s="339">
        <f t="shared" si="0"/>
        <v>58</v>
      </c>
      <c r="G8" s="340">
        <f t="shared" si="1"/>
        <v>21.000000000000085</v>
      </c>
      <c r="H8" s="341">
        <f t="shared" si="2"/>
        <v>0.70000000000000284</v>
      </c>
      <c r="I8" s="342">
        <f t="shared" si="3"/>
        <v>58.7</v>
      </c>
      <c r="J8" s="186"/>
      <c r="K8" s="333">
        <f>'PLANTILLA INV. PISO (0)'!AA4</f>
        <v>0</v>
      </c>
    </row>
    <row r="9" spans="1:11" ht="15" customHeight="1" x14ac:dyDescent="0.3">
      <c r="A9" s="350">
        <f>'PLANTILLA INV. PISO (0)'!A5</f>
        <v>0</v>
      </c>
      <c r="B9" s="350">
        <f>'PLANTILLA INV. PISO (0)'!B5</f>
        <v>0</v>
      </c>
      <c r="C9" s="351">
        <f>'MODIFICAR CODIGOS '!E5</f>
        <v>30</v>
      </c>
      <c r="D9" s="352">
        <f>'PLANTILLA INV. PISO (0)'!U5</f>
        <v>0</v>
      </c>
      <c r="E9" s="132"/>
      <c r="F9" s="339">
        <f t="shared" si="0"/>
        <v>0</v>
      </c>
      <c r="G9" s="340">
        <f t="shared" si="1"/>
        <v>0</v>
      </c>
      <c r="H9" s="341">
        <f t="shared" si="2"/>
        <v>0</v>
      </c>
      <c r="I9" s="342">
        <f t="shared" si="3"/>
        <v>0</v>
      </c>
      <c r="J9" s="186"/>
      <c r="K9" s="333">
        <f>'PLANTILLA INV. PISO (0)'!AA5</f>
        <v>0</v>
      </c>
    </row>
    <row r="10" spans="1:11" ht="15" customHeight="1" x14ac:dyDescent="0.3">
      <c r="A10" s="350">
        <f>'PLANTILLA INV. PISO (0)'!A6</f>
        <v>160069</v>
      </c>
      <c r="B10" s="350" t="str">
        <f>'PLANTILLA INV. PISO (0)'!B6</f>
        <v>SPRITE LL6,5 OZ</v>
      </c>
      <c r="C10" s="351">
        <f>'MODIFICAR CODIGOS '!E6</f>
        <v>30</v>
      </c>
      <c r="D10" s="352">
        <f>'PLANTILLA INV. PISO (0)'!U6</f>
        <v>97.08</v>
      </c>
      <c r="E10" s="132"/>
      <c r="F10" s="339">
        <f t="shared" si="0"/>
        <v>97</v>
      </c>
      <c r="G10" s="340">
        <f t="shared" si="1"/>
        <v>7.9999999999998295</v>
      </c>
      <c r="H10" s="341">
        <f t="shared" si="2"/>
        <v>0.266666666666661</v>
      </c>
      <c r="I10" s="342">
        <f t="shared" si="3"/>
        <v>97.266666666666666</v>
      </c>
      <c r="J10" s="186"/>
      <c r="K10" s="333">
        <f>'PLANTILLA INV. PISO (0)'!AA6</f>
        <v>0</v>
      </c>
    </row>
    <row r="11" spans="1:11" ht="15" customHeight="1" x14ac:dyDescent="0.3">
      <c r="A11" s="350">
        <f>'PLANTILLA INV. PISO (0)'!A7</f>
        <v>0</v>
      </c>
      <c r="B11" s="350">
        <f>'PLANTILLA INV. PISO (0)'!B7</f>
        <v>0</v>
      </c>
      <c r="C11" s="351">
        <f>'MODIFICAR CODIGOS '!E7</f>
        <v>30</v>
      </c>
      <c r="D11" s="352">
        <f>'PLANTILLA INV. PISO (0)'!U7</f>
        <v>0</v>
      </c>
      <c r="E11" s="132"/>
      <c r="F11" s="339">
        <f t="shared" si="0"/>
        <v>0</v>
      </c>
      <c r="G11" s="340">
        <f t="shared" si="1"/>
        <v>0</v>
      </c>
      <c r="H11" s="341">
        <f t="shared" si="2"/>
        <v>0</v>
      </c>
      <c r="I11" s="342">
        <f t="shared" si="3"/>
        <v>0</v>
      </c>
      <c r="J11" s="186"/>
      <c r="K11" s="333">
        <f>'PLANTILLA INV. PISO (0)'!AA7</f>
        <v>0</v>
      </c>
    </row>
    <row r="12" spans="1:11" ht="15" customHeight="1" x14ac:dyDescent="0.3">
      <c r="A12" s="350">
        <f>'PLANTILLA INV. PISO (0)'!A8</f>
        <v>0</v>
      </c>
      <c r="B12" s="350">
        <f>'PLANTILLA INV. PISO (0)'!B8</f>
        <v>0</v>
      </c>
      <c r="C12" s="351">
        <f>'MODIFICAR CODIGOS '!E8</f>
        <v>30</v>
      </c>
      <c r="D12" s="352">
        <f>'PLANTILLA INV. PISO (0)'!U8</f>
        <v>0</v>
      </c>
      <c r="E12" s="132"/>
      <c r="F12" s="339">
        <f t="shared" si="0"/>
        <v>0</v>
      </c>
      <c r="G12" s="340">
        <f t="shared" si="1"/>
        <v>0</v>
      </c>
      <c r="H12" s="341">
        <f t="shared" si="2"/>
        <v>0</v>
      </c>
      <c r="I12" s="342">
        <f t="shared" si="3"/>
        <v>0</v>
      </c>
      <c r="J12" s="186"/>
      <c r="K12" s="333">
        <f>'PLANTILLA INV. PISO (0)'!AA8</f>
        <v>0</v>
      </c>
    </row>
    <row r="13" spans="1:11" ht="15" customHeight="1" x14ac:dyDescent="0.3">
      <c r="A13" s="350">
        <f>'PLANTILLA INV. PISO (0)'!A9</f>
        <v>0</v>
      </c>
      <c r="B13" s="350">
        <f>'PLANTILLA INV. PISO (0)'!B9</f>
        <v>0</v>
      </c>
      <c r="C13" s="351">
        <f>'MODIFICAR CODIGOS '!E9</f>
        <v>30</v>
      </c>
      <c r="D13" s="352">
        <f>'PLANTILLA INV. PISO (0)'!U9</f>
        <v>0</v>
      </c>
      <c r="E13" s="132"/>
      <c r="F13" s="339">
        <f t="shared" si="0"/>
        <v>0</v>
      </c>
      <c r="G13" s="340">
        <f t="shared" si="1"/>
        <v>0</v>
      </c>
      <c r="H13" s="341">
        <f t="shared" si="2"/>
        <v>0</v>
      </c>
      <c r="I13" s="342">
        <f t="shared" si="3"/>
        <v>0</v>
      </c>
      <c r="J13" s="186"/>
      <c r="K13" s="333">
        <f>'PLANTILLA INV. PISO (0)'!AA9</f>
        <v>0</v>
      </c>
    </row>
    <row r="14" spans="1:11" ht="15" customHeight="1" x14ac:dyDescent="0.3">
      <c r="A14" s="350">
        <f>'PLANTILLA INV. PISO (0)'!A10</f>
        <v>56623</v>
      </c>
      <c r="B14" s="350" t="str">
        <f>'PLANTILLA INV. PISO (0)'!B10</f>
        <v>PREMIO ROJO 250 ML RGB</v>
      </c>
      <c r="C14" s="351">
        <f>'MODIFICAR CODIGOS '!E10</f>
        <v>30</v>
      </c>
      <c r="D14" s="352">
        <f>'PLANTILLA INV. PISO (0)'!U10</f>
        <v>0</v>
      </c>
      <c r="E14" s="132"/>
      <c r="F14" s="339">
        <f t="shared" si="0"/>
        <v>0</v>
      </c>
      <c r="G14" s="340">
        <f t="shared" si="1"/>
        <v>0</v>
      </c>
      <c r="H14" s="341">
        <f t="shared" si="2"/>
        <v>0</v>
      </c>
      <c r="I14" s="342">
        <f t="shared" si="3"/>
        <v>0</v>
      </c>
      <c r="J14" s="186"/>
      <c r="K14" s="333">
        <f>'PLANTILLA INV. PISO (0)'!AA10</f>
        <v>0</v>
      </c>
    </row>
    <row r="15" spans="1:11" ht="15" customHeight="1" x14ac:dyDescent="0.3">
      <c r="A15" s="350" t="str">
        <f>'PLANTILLA INV. PISO (0)'!A11</f>
        <v>*</v>
      </c>
      <c r="B15" s="350">
        <f>'PLANTILLA INV. PISO (0)'!B11</f>
        <v>0</v>
      </c>
      <c r="C15" s="351">
        <f>'MODIFICAR CODIGOS '!E11</f>
        <v>0</v>
      </c>
      <c r="D15" s="352">
        <f>'PLANTILLA INV. PISO (0)'!U11</f>
        <v>0</v>
      </c>
      <c r="E15" s="132"/>
      <c r="F15" s="339">
        <f t="shared" si="0"/>
        <v>0</v>
      </c>
      <c r="G15" s="340">
        <f t="shared" si="1"/>
        <v>0</v>
      </c>
      <c r="H15" s="341" t="e">
        <f t="shared" si="2"/>
        <v>#DIV/0!</v>
      </c>
      <c r="I15" s="342" t="e">
        <f t="shared" si="3"/>
        <v>#DIV/0!</v>
      </c>
      <c r="J15" s="186"/>
      <c r="K15" s="333">
        <f>'PLANTILLA INV. PISO (0)'!AA11</f>
        <v>0</v>
      </c>
    </row>
    <row r="16" spans="1:11" ht="15" customHeight="1" x14ac:dyDescent="0.3">
      <c r="A16" s="350">
        <f>'PLANTILLA INV. PISO (0)'!A12</f>
        <v>160053</v>
      </c>
      <c r="B16" s="350" t="str">
        <f>'PLANTILLA INV. PISO (0)'!B12</f>
        <v>COCA-COLA 350ML VIR(30)</v>
      </c>
      <c r="C16" s="351">
        <f>'MODIFICAR CODIGOS '!E12</f>
        <v>30</v>
      </c>
      <c r="D16" s="352">
        <f>'PLANTILLA INV. PISO (0)'!U12</f>
        <v>42.1</v>
      </c>
      <c r="E16" s="132"/>
      <c r="F16" s="339">
        <f t="shared" si="0"/>
        <v>42</v>
      </c>
      <c r="G16" s="340">
        <f t="shared" si="1"/>
        <v>10.000000000000142</v>
      </c>
      <c r="H16" s="341">
        <f t="shared" si="2"/>
        <v>0.33333333333333809</v>
      </c>
      <c r="I16" s="342">
        <f t="shared" si="3"/>
        <v>42.333333333333336</v>
      </c>
      <c r="J16" s="186"/>
      <c r="K16" s="333">
        <f>'PLANTILLA INV. PISO (0)'!AA12</f>
        <v>0</v>
      </c>
    </row>
    <row r="17" spans="1:11" ht="15" customHeight="1" x14ac:dyDescent="0.3">
      <c r="A17" s="350">
        <f>'PLANTILLA INV. PISO (0)'!A13</f>
        <v>135763</v>
      </c>
      <c r="B17" s="350" t="str">
        <f>'PLANTILLA INV. PISO (0)'!B13</f>
        <v>COCA COLA ZERO 350 ML VIR</v>
      </c>
      <c r="C17" s="351">
        <f>'MODIFICAR CODIGOS '!E13</f>
        <v>30</v>
      </c>
      <c r="D17" s="352">
        <f>'PLANTILLA INV. PISO (0)'!U13</f>
        <v>18.239999999999998</v>
      </c>
      <c r="E17" s="132"/>
      <c r="F17" s="339">
        <f t="shared" si="0"/>
        <v>18</v>
      </c>
      <c r="G17" s="340">
        <f t="shared" si="1"/>
        <v>23.999999999999844</v>
      </c>
      <c r="H17" s="341">
        <f t="shared" si="2"/>
        <v>0.79999999999999483</v>
      </c>
      <c r="I17" s="342">
        <f t="shared" si="3"/>
        <v>18.799999999999994</v>
      </c>
      <c r="J17" s="186"/>
      <c r="K17" s="333">
        <f>'PLANTILLA INV. PISO (0)'!AA13</f>
        <v>0</v>
      </c>
    </row>
    <row r="18" spans="1:11" ht="15" customHeight="1" x14ac:dyDescent="0.3">
      <c r="A18" s="350">
        <f>'PLANTILLA INV. PISO (0)'!A14</f>
        <v>56622</v>
      </c>
      <c r="B18" s="350" t="str">
        <f>'PLANTILLA INV. PISO (0)'!B14</f>
        <v>PREMIO ROJO 350 ML (30)</v>
      </c>
      <c r="C18" s="351">
        <f>'MODIFICAR CODIGOS '!E14</f>
        <v>30</v>
      </c>
      <c r="D18" s="352">
        <f>'PLANTILLA INV. PISO (0)'!U14</f>
        <v>35.200000000000003</v>
      </c>
      <c r="E18" s="132"/>
      <c r="F18" s="339">
        <f t="shared" si="0"/>
        <v>35</v>
      </c>
      <c r="G18" s="340">
        <f t="shared" si="1"/>
        <v>20.000000000000284</v>
      </c>
      <c r="H18" s="341">
        <f t="shared" si="2"/>
        <v>0.66666666666667618</v>
      </c>
      <c r="I18" s="342">
        <f t="shared" si="3"/>
        <v>35.666666666666679</v>
      </c>
      <c r="J18" s="186"/>
      <c r="K18" s="333">
        <f>'PLANTILLA INV. PISO (0)'!AA14</f>
        <v>0</v>
      </c>
    </row>
    <row r="19" spans="1:11" ht="15" customHeight="1" x14ac:dyDescent="0.3">
      <c r="A19" s="350">
        <f>'PLANTILLA INV. PISO (0)'!A15</f>
        <v>56705</v>
      </c>
      <c r="B19" s="350" t="str">
        <f>'PLANTILLA INV. PISO (0)'!B15</f>
        <v>QUATRO TJA 350ML VIR(30)</v>
      </c>
      <c r="C19" s="351">
        <f>'MODIFICAR CODIGOS '!E15</f>
        <v>30</v>
      </c>
      <c r="D19" s="352">
        <f>'PLANTILLA INV. PISO (0)'!U15</f>
        <v>32.25</v>
      </c>
      <c r="E19" s="132"/>
      <c r="F19" s="339">
        <f t="shared" si="0"/>
        <v>32</v>
      </c>
      <c r="G19" s="340">
        <f t="shared" si="1"/>
        <v>25</v>
      </c>
      <c r="H19" s="341">
        <f t="shared" si="2"/>
        <v>0.83333333333333337</v>
      </c>
      <c r="I19" s="342">
        <f t="shared" si="3"/>
        <v>32.833333333333336</v>
      </c>
      <c r="J19" s="186"/>
      <c r="K19" s="333">
        <f>'PLANTILLA INV. PISO (0)'!AA15</f>
        <v>0</v>
      </c>
    </row>
    <row r="20" spans="1:11" ht="15" customHeight="1" x14ac:dyDescent="0.3">
      <c r="A20" s="350">
        <f>'PLANTILLA INV. PISO (0)'!A16</f>
        <v>160070</v>
      </c>
      <c r="B20" s="350" t="str">
        <f>'PLANTILLA INV. PISO (0)'!B16</f>
        <v>SPRITE LL 350ML VIR(30)</v>
      </c>
      <c r="C20" s="351">
        <f>'MODIFICAR CODIGOS '!E16</f>
        <v>30</v>
      </c>
      <c r="D20" s="352">
        <f>'PLANTILLA INV. PISO (0)'!U16</f>
        <v>43.25</v>
      </c>
      <c r="E20" s="132"/>
      <c r="F20" s="339">
        <f t="shared" si="0"/>
        <v>43</v>
      </c>
      <c r="G20" s="340">
        <f t="shared" si="1"/>
        <v>25</v>
      </c>
      <c r="H20" s="341">
        <f t="shared" si="2"/>
        <v>0.83333333333333337</v>
      </c>
      <c r="I20" s="342">
        <f t="shared" si="3"/>
        <v>43.833333333333336</v>
      </c>
      <c r="J20" s="186"/>
      <c r="K20" s="333">
        <f>'PLANTILLA INV. PISO (0)'!AA16</f>
        <v>0</v>
      </c>
    </row>
    <row r="21" spans="1:11" ht="15" customHeight="1" x14ac:dyDescent="0.3">
      <c r="A21" s="350">
        <f>'PLANTILLA INV. PISO (0)'!A17</f>
        <v>160033</v>
      </c>
      <c r="B21" s="350" t="str">
        <f>'PLANTILLA INV. PISO (0)'!B17</f>
        <v>SCHWEPPES SODA 350 ML VIR (30)</v>
      </c>
      <c r="C21" s="351">
        <f>'MODIFICAR CODIGOS '!E17</f>
        <v>30</v>
      </c>
      <c r="D21" s="352">
        <f>'PLANTILLA INV. PISO (0)'!U17</f>
        <v>3.09</v>
      </c>
      <c r="E21" s="132"/>
      <c r="F21" s="339">
        <f t="shared" si="0"/>
        <v>3</v>
      </c>
      <c r="G21" s="340">
        <f t="shared" si="1"/>
        <v>8.9999999999999858</v>
      </c>
      <c r="H21" s="341">
        <f t="shared" si="2"/>
        <v>0.29999999999999954</v>
      </c>
      <c r="I21" s="342">
        <f t="shared" si="3"/>
        <v>3.2999999999999994</v>
      </c>
      <c r="J21" s="186"/>
      <c r="K21" s="333">
        <f>'PLANTILLA INV. PISO (0)'!AA17</f>
        <v>0</v>
      </c>
    </row>
    <row r="22" spans="1:11" ht="15" customHeight="1" x14ac:dyDescent="0.3">
      <c r="A22" s="350">
        <f>'PLANTILLA INV. PISO (0)'!A18</f>
        <v>0</v>
      </c>
      <c r="B22" s="350">
        <f>'PLANTILLA INV. PISO (0)'!B18</f>
        <v>0</v>
      </c>
      <c r="C22" s="351">
        <f>'MODIFICAR CODIGOS '!E18</f>
        <v>30</v>
      </c>
      <c r="D22" s="352">
        <f>'PLANTILLA INV. PISO (0)'!U18</f>
        <v>0</v>
      </c>
      <c r="E22" s="132"/>
      <c r="F22" s="339">
        <f t="shared" si="0"/>
        <v>0</v>
      </c>
      <c r="G22" s="340">
        <f t="shared" si="1"/>
        <v>0</v>
      </c>
      <c r="H22" s="341">
        <f t="shared" si="2"/>
        <v>0</v>
      </c>
      <c r="I22" s="342">
        <f t="shared" si="3"/>
        <v>0</v>
      </c>
      <c r="J22" s="186"/>
      <c r="K22" s="333">
        <f>'PLANTILLA INV. PISO (0)'!AA18</f>
        <v>0</v>
      </c>
    </row>
    <row r="23" spans="1:11" ht="15" customHeight="1" x14ac:dyDescent="0.3">
      <c r="A23" s="350">
        <f>'PLANTILLA INV. PISO (0)'!A19</f>
        <v>0</v>
      </c>
      <c r="B23" s="350">
        <f>'PLANTILLA INV. PISO (0)'!B19</f>
        <v>0</v>
      </c>
      <c r="C23" s="351">
        <f>'MODIFICAR CODIGOS '!E19</f>
        <v>30</v>
      </c>
      <c r="D23" s="352">
        <f>'PLANTILLA INV. PISO (0)'!U19</f>
        <v>0</v>
      </c>
      <c r="E23" s="132"/>
      <c r="F23" s="339">
        <f t="shared" si="0"/>
        <v>0</v>
      </c>
      <c r="G23" s="340">
        <f t="shared" si="1"/>
        <v>0</v>
      </c>
      <c r="H23" s="341">
        <f t="shared" si="2"/>
        <v>0</v>
      </c>
      <c r="I23" s="342">
        <f t="shared" si="3"/>
        <v>0</v>
      </c>
      <c r="J23" s="186"/>
      <c r="K23" s="333">
        <f>'PLANTILLA INV. PISO (0)'!AA19</f>
        <v>0</v>
      </c>
    </row>
    <row r="24" spans="1:11" ht="15" customHeight="1" x14ac:dyDescent="0.3">
      <c r="A24" s="350">
        <f>'PLANTILLA INV. PISO (0)'!A20</f>
        <v>0</v>
      </c>
      <c r="B24" s="350">
        <f>'PLANTILLA INV. PISO (0)'!B20</f>
        <v>0</v>
      </c>
      <c r="C24" s="351">
        <f>'MODIFICAR CODIGOS '!E20</f>
        <v>30</v>
      </c>
      <c r="D24" s="352">
        <f>'PLANTILLA INV. PISO (0)'!U20</f>
        <v>0</v>
      </c>
      <c r="E24" s="132"/>
      <c r="F24" s="339">
        <f t="shared" si="0"/>
        <v>0</v>
      </c>
      <c r="G24" s="340">
        <f t="shared" si="1"/>
        <v>0</v>
      </c>
      <c r="H24" s="341">
        <f t="shared" si="2"/>
        <v>0</v>
      </c>
      <c r="I24" s="342">
        <f t="shared" si="3"/>
        <v>0</v>
      </c>
      <c r="J24" s="186"/>
      <c r="K24" s="333">
        <f>'PLANTILLA INV. PISO (0)'!AA20</f>
        <v>0</v>
      </c>
    </row>
    <row r="25" spans="1:11" ht="15" customHeight="1" x14ac:dyDescent="0.3">
      <c r="A25" s="350">
        <f>'PLANTILLA INV. PISO (0)'!A21</f>
        <v>0</v>
      </c>
      <c r="B25" s="350">
        <f>'PLANTILLA INV. PISO (0)'!B21</f>
        <v>0</v>
      </c>
      <c r="C25" s="351">
        <f>'MODIFICAR CODIGOS '!E21</f>
        <v>30</v>
      </c>
      <c r="D25" s="352">
        <f>'PLANTILLA INV. PISO (0)'!U21</f>
        <v>0</v>
      </c>
      <c r="E25" s="132"/>
      <c r="F25" s="339">
        <f t="shared" si="0"/>
        <v>0</v>
      </c>
      <c r="G25" s="340">
        <f t="shared" si="1"/>
        <v>0</v>
      </c>
      <c r="H25" s="341">
        <f t="shared" si="2"/>
        <v>0</v>
      </c>
      <c r="I25" s="342">
        <f t="shared" si="3"/>
        <v>0</v>
      </c>
      <c r="J25" s="186"/>
      <c r="K25" s="333">
        <f>'PLANTILLA INV. PISO (0)'!AA21</f>
        <v>0</v>
      </c>
    </row>
    <row r="26" spans="1:11" ht="15" customHeight="1" x14ac:dyDescent="0.3">
      <c r="A26" s="350">
        <f>'PLANTILLA INV. PISO (0)'!A22</f>
        <v>0</v>
      </c>
      <c r="B26" s="350">
        <f>'PLANTILLA INV. PISO (0)'!B22</f>
        <v>0</v>
      </c>
      <c r="C26" s="351">
        <f>'MODIFICAR CODIGOS '!E22</f>
        <v>30</v>
      </c>
      <c r="D26" s="352">
        <f>'PLANTILLA INV. PISO (0)'!U22</f>
        <v>0</v>
      </c>
      <c r="E26" s="132"/>
      <c r="F26" s="339">
        <f t="shared" si="0"/>
        <v>0</v>
      </c>
      <c r="G26" s="340">
        <f t="shared" si="1"/>
        <v>0</v>
      </c>
      <c r="H26" s="341">
        <f t="shared" si="2"/>
        <v>0</v>
      </c>
      <c r="I26" s="342">
        <f t="shared" si="3"/>
        <v>0</v>
      </c>
      <c r="J26" s="186"/>
      <c r="K26" s="333">
        <f>'PLANTILLA INV. PISO (0)'!AA22</f>
        <v>0</v>
      </c>
    </row>
    <row r="27" spans="1:11" ht="15" customHeight="1" x14ac:dyDescent="0.3">
      <c r="A27" s="350">
        <f>'PLANTILLA INV. PISO (0)'!A23</f>
        <v>0</v>
      </c>
      <c r="B27" s="350">
        <f>'PLANTILLA INV. PISO (0)'!B23</f>
        <v>0</v>
      </c>
      <c r="C27" s="351">
        <f>'MODIFICAR CODIGOS '!E23</f>
        <v>30</v>
      </c>
      <c r="D27" s="352">
        <f>'PLANTILLA INV. PISO (0)'!U23</f>
        <v>0</v>
      </c>
      <c r="E27" s="132"/>
      <c r="F27" s="339">
        <f t="shared" si="0"/>
        <v>0</v>
      </c>
      <c r="G27" s="340">
        <f t="shared" si="1"/>
        <v>0</v>
      </c>
      <c r="H27" s="341">
        <f t="shared" si="2"/>
        <v>0</v>
      </c>
      <c r="I27" s="342">
        <f t="shared" si="3"/>
        <v>0</v>
      </c>
      <c r="J27" s="186"/>
      <c r="K27" s="333">
        <f>'PLANTILLA INV. PISO (0)'!AA23</f>
        <v>0</v>
      </c>
    </row>
    <row r="28" spans="1:11" ht="15" customHeight="1" x14ac:dyDescent="0.3">
      <c r="A28" s="350">
        <f>'PLANTILLA INV. PISO (0)'!A24</f>
        <v>135666</v>
      </c>
      <c r="B28" s="350" t="str">
        <f>'PLANTILLA INV. PISO (0)'!B24</f>
        <v>COCA COLA 1.25LT VIR(12)</v>
      </c>
      <c r="C28" s="351">
        <f>'MODIFICAR CODIGOS '!E24</f>
        <v>12</v>
      </c>
      <c r="D28" s="352">
        <f>'PLANTILLA INV. PISO (0)'!U24</f>
        <v>48</v>
      </c>
      <c r="E28" s="132"/>
      <c r="F28" s="339">
        <f t="shared" si="0"/>
        <v>48</v>
      </c>
      <c r="G28" s="340">
        <f t="shared" si="1"/>
        <v>0</v>
      </c>
      <c r="H28" s="341">
        <f t="shared" si="2"/>
        <v>0</v>
      </c>
      <c r="I28" s="342">
        <f t="shared" si="3"/>
        <v>48</v>
      </c>
      <c r="J28" s="186"/>
      <c r="K28" s="333">
        <f>'PLANTILLA INV. PISO (0)'!AA24</f>
        <v>0</v>
      </c>
    </row>
    <row r="29" spans="1:11" ht="15" customHeight="1" x14ac:dyDescent="0.3">
      <c r="A29" s="350">
        <f>'PLANTILLA INV. PISO (0)'!A25</f>
        <v>0</v>
      </c>
      <c r="B29" s="350">
        <f>'PLANTILLA INV. PISO (0)'!B25</f>
        <v>0</v>
      </c>
      <c r="C29" s="351">
        <f>'MODIFICAR CODIGOS '!E25</f>
        <v>12</v>
      </c>
      <c r="D29" s="352">
        <f>'PLANTILLA INV. PISO (0)'!U25</f>
        <v>0</v>
      </c>
      <c r="E29" s="132"/>
      <c r="F29" s="339">
        <f t="shared" si="0"/>
        <v>0</v>
      </c>
      <c r="G29" s="340">
        <f t="shared" si="1"/>
        <v>0</v>
      </c>
      <c r="H29" s="341">
        <f t="shared" si="2"/>
        <v>0</v>
      </c>
      <c r="I29" s="342">
        <f t="shared" si="3"/>
        <v>0</v>
      </c>
      <c r="K29" s="333">
        <f>'PLANTILLA INV. PISO (0)'!AA25</f>
        <v>0</v>
      </c>
    </row>
    <row r="30" spans="1:11" ht="15" customHeight="1" x14ac:dyDescent="0.3">
      <c r="A30" s="350" t="str">
        <f>'PLANTILLA INV. PISO (0)'!A26</f>
        <v>*</v>
      </c>
      <c r="B30" s="350">
        <f>'PLANTILLA INV. PISO (0)'!B26</f>
        <v>0</v>
      </c>
      <c r="C30" s="351">
        <f>'MODIFICAR CODIGOS '!E26</f>
        <v>0</v>
      </c>
      <c r="D30" s="352">
        <f>'PLANTILLA INV. PISO (0)'!U26</f>
        <v>0</v>
      </c>
      <c r="E30" s="132"/>
      <c r="F30" s="339">
        <f t="shared" si="0"/>
        <v>0</v>
      </c>
      <c r="G30" s="340">
        <f t="shared" si="1"/>
        <v>0</v>
      </c>
      <c r="H30" s="341" t="e">
        <f t="shared" si="2"/>
        <v>#DIV/0!</v>
      </c>
      <c r="I30" s="342" t="e">
        <f t="shared" si="3"/>
        <v>#DIV/0!</v>
      </c>
      <c r="K30" s="333">
        <f>'PLANTILLA INV. PISO (0)'!AA26</f>
        <v>0</v>
      </c>
    </row>
    <row r="31" spans="1:11" ht="15" customHeight="1" x14ac:dyDescent="0.3">
      <c r="A31" s="350">
        <f>'PLANTILLA INV. PISO (0)'!A27</f>
        <v>136159</v>
      </c>
      <c r="B31" s="350" t="str">
        <f>'PLANTILLA INV. PISO (0)'!B27</f>
        <v>COCA-COLA SO 1 LT NR (12)</v>
      </c>
      <c r="C31" s="351">
        <f>'MODIFICAR CODIGOS '!E27</f>
        <v>12</v>
      </c>
      <c r="D31" s="352">
        <f>'PLANTILLA INV. PISO (0)'!U27</f>
        <v>137</v>
      </c>
      <c r="E31" s="132"/>
      <c r="F31" s="339">
        <f t="shared" si="0"/>
        <v>137</v>
      </c>
      <c r="G31" s="340">
        <f t="shared" si="1"/>
        <v>0</v>
      </c>
      <c r="H31" s="341">
        <f t="shared" si="2"/>
        <v>0</v>
      </c>
      <c r="I31" s="342">
        <f t="shared" si="3"/>
        <v>137</v>
      </c>
      <c r="K31" s="333">
        <f>'PLANTILLA INV. PISO (0)'!AA27</f>
        <v>0</v>
      </c>
    </row>
    <row r="32" spans="1:11" ht="15" customHeight="1" x14ac:dyDescent="0.3">
      <c r="A32" s="350">
        <f>'PLANTILLA INV. PISO (0)'!A28</f>
        <v>136113</v>
      </c>
      <c r="B32" s="350" t="str">
        <f>'PLANTILLA INV. PISO (0)'!B28</f>
        <v>ESPEJO CCSO 1.5LT PET(12)</v>
      </c>
      <c r="C32" s="351">
        <f>'MODIFICAR CODIGOS '!E28</f>
        <v>12</v>
      </c>
      <c r="D32" s="352">
        <f>'PLANTILLA INV. PISO (0)'!U28</f>
        <v>433</v>
      </c>
      <c r="E32" s="132"/>
      <c r="F32" s="339">
        <f t="shared" si="0"/>
        <v>433</v>
      </c>
      <c r="G32" s="340">
        <f t="shared" si="1"/>
        <v>0</v>
      </c>
      <c r="H32" s="341">
        <f t="shared" si="2"/>
        <v>0</v>
      </c>
      <c r="I32" s="342">
        <f t="shared" si="3"/>
        <v>433</v>
      </c>
      <c r="K32" s="333"/>
    </row>
    <row r="33" spans="1:11" ht="15" customHeight="1" x14ac:dyDescent="0.3">
      <c r="A33" s="350">
        <f>'PLANTILLA INV. PISO (0)'!A29</f>
        <v>135664</v>
      </c>
      <c r="B33" s="350" t="str">
        <f>'PLANTILLA INV. PISO (0)'!B29</f>
        <v>COCA-COLA 1.5 LT NR (12) Nvo</v>
      </c>
      <c r="C33" s="351">
        <f>'MODIFICAR CODIGOS '!E29</f>
        <v>12</v>
      </c>
      <c r="D33" s="352">
        <f>'PLANTILLA INV. PISO (0)'!U29</f>
        <v>19.100000000000001</v>
      </c>
      <c r="E33" s="132"/>
      <c r="F33" s="339">
        <f t="shared" si="0"/>
        <v>19</v>
      </c>
      <c r="G33" s="340">
        <f t="shared" si="1"/>
        <v>10.000000000000142</v>
      </c>
      <c r="H33" s="341">
        <f t="shared" si="2"/>
        <v>0.83333333333334514</v>
      </c>
      <c r="I33" s="342">
        <f t="shared" si="3"/>
        <v>19.833333333333346</v>
      </c>
      <c r="K33" s="333">
        <f>'PLANTILLA INV. PISO (0)'!AA29</f>
        <v>0</v>
      </c>
    </row>
    <row r="34" spans="1:11" ht="15" customHeight="1" x14ac:dyDescent="0.3">
      <c r="A34" s="350">
        <f>'PLANTILLA INV. PISO (0)'!A30</f>
        <v>135757</v>
      </c>
      <c r="B34" s="350" t="str">
        <f>'PLANTILLA INV. PISO (0)'!B30</f>
        <v>COCA COLA ZERO 1,5 NR (12)</v>
      </c>
      <c r="C34" s="351">
        <f>'MODIFICAR CODIGOS '!E30</f>
        <v>12</v>
      </c>
      <c r="D34" s="352">
        <f>'PLANTILLA INV. PISO (0)'!U30</f>
        <v>8.1</v>
      </c>
      <c r="E34" s="132"/>
      <c r="F34" s="339">
        <f t="shared" si="0"/>
        <v>8</v>
      </c>
      <c r="G34" s="340">
        <f t="shared" si="1"/>
        <v>9.9999999999999645</v>
      </c>
      <c r="H34" s="341">
        <f t="shared" si="2"/>
        <v>0.83333333333333037</v>
      </c>
      <c r="I34" s="342">
        <f t="shared" si="3"/>
        <v>8.8333333333333304</v>
      </c>
      <c r="K34" s="333">
        <f>'PLANTILLA INV. PISO (0)'!AA30</f>
        <v>0</v>
      </c>
    </row>
    <row r="35" spans="1:11" ht="15" customHeight="1" x14ac:dyDescent="0.3">
      <c r="A35" s="350">
        <f>'PLANTILLA INV. PISO (0)'!A31</f>
        <v>56651</v>
      </c>
      <c r="B35" s="350" t="str">
        <f>'PLANTILLA INV. PISO (0)'!B31</f>
        <v>PREMIO ROJO 1.5 L</v>
      </c>
      <c r="C35" s="351">
        <f>'MODIFICAR CODIGOS '!E31</f>
        <v>12</v>
      </c>
      <c r="D35" s="352">
        <f>'PLANTILLA INV. PISO (0)'!U31</f>
        <v>130</v>
      </c>
      <c r="E35" s="132"/>
      <c r="F35" s="339">
        <f t="shared" si="0"/>
        <v>130</v>
      </c>
      <c r="G35" s="340">
        <f t="shared" si="1"/>
        <v>0</v>
      </c>
      <c r="H35" s="341">
        <f t="shared" si="2"/>
        <v>0</v>
      </c>
      <c r="I35" s="342">
        <f t="shared" si="3"/>
        <v>130</v>
      </c>
      <c r="K35" s="333">
        <f>'PLANTILLA INV. PISO (0)'!AA31</f>
        <v>0</v>
      </c>
    </row>
    <row r="36" spans="1:11" ht="15" customHeight="1" x14ac:dyDescent="0.3">
      <c r="A36" s="350">
        <f>'PLANTILLA INV. PISO (0)'!A32</f>
        <v>56709</v>
      </c>
      <c r="B36" s="350" t="str">
        <f>'PLANTILLA INV. PISO (0)'!B32</f>
        <v>QUATRO  1,5LT</v>
      </c>
      <c r="C36" s="351">
        <f>'MODIFICAR CODIGOS '!E32</f>
        <v>12</v>
      </c>
      <c r="D36" s="352">
        <f>'PLANTILLA INV. PISO (0)'!U32</f>
        <v>367.04</v>
      </c>
      <c r="E36" s="132"/>
      <c r="F36" s="339">
        <f t="shared" si="0"/>
        <v>367</v>
      </c>
      <c r="G36" s="340">
        <f t="shared" si="1"/>
        <v>4.0000000000020464</v>
      </c>
      <c r="H36" s="341">
        <f t="shared" si="2"/>
        <v>0.33333333333350385</v>
      </c>
      <c r="I36" s="342">
        <f t="shared" si="3"/>
        <v>367.33333333333348</v>
      </c>
      <c r="K36" s="333">
        <f>'PLANTILLA INV. PISO (0)'!AA32</f>
        <v>0</v>
      </c>
    </row>
    <row r="37" spans="1:11" ht="15" customHeight="1" x14ac:dyDescent="0.3">
      <c r="A37" s="350">
        <f>'PLANTILLA INV. PISO (0)'!A33</f>
        <v>160102</v>
      </c>
      <c r="B37" s="350" t="str">
        <f>'PLANTILLA INV. PISO (0)'!B33</f>
        <v>SRITE LIMA LIMON 1,5LT</v>
      </c>
      <c r="C37" s="351">
        <f>'MODIFICAR CODIGOS '!E33</f>
        <v>12</v>
      </c>
      <c r="D37" s="352">
        <f>'PLANTILLA INV. PISO (0)'!U33</f>
        <v>58.03</v>
      </c>
      <c r="E37" s="132"/>
      <c r="F37" s="339">
        <f t="shared" si="0"/>
        <v>58</v>
      </c>
      <c r="G37" s="340">
        <f t="shared" si="1"/>
        <v>3.0000000000001137</v>
      </c>
      <c r="H37" s="341">
        <f t="shared" si="2"/>
        <v>0.25000000000000949</v>
      </c>
      <c r="I37" s="342">
        <f t="shared" si="3"/>
        <v>58.250000000000007</v>
      </c>
      <c r="K37" s="333">
        <f>'PLANTILLA INV. PISO (0)'!AA33</f>
        <v>0</v>
      </c>
    </row>
    <row r="38" spans="1:11" ht="15" customHeight="1" x14ac:dyDescent="0.3">
      <c r="A38" s="350">
        <f>'PLANTILLA INV. PISO (0)'!A34</f>
        <v>160100</v>
      </c>
      <c r="B38" s="350" t="str">
        <f>'PLANTILLA INV. PISO (0)'!B34</f>
        <v>SCHEPPES GINGER 1,5 LTS</v>
      </c>
      <c r="C38" s="351">
        <f>'MODIFICAR CODIGOS '!E34</f>
        <v>12</v>
      </c>
      <c r="D38" s="352">
        <f>'PLANTILLA INV. PISO (0)'!U34</f>
        <v>6.01</v>
      </c>
      <c r="E38" s="132"/>
      <c r="F38" s="339">
        <f t="shared" si="0"/>
        <v>6</v>
      </c>
      <c r="G38" s="340">
        <f t="shared" si="1"/>
        <v>0.99999999999997868</v>
      </c>
      <c r="H38" s="341">
        <f t="shared" si="2"/>
        <v>8.3333333333331552E-2</v>
      </c>
      <c r="I38" s="342">
        <f t="shared" si="3"/>
        <v>6.0833333333333313</v>
      </c>
      <c r="K38" s="333">
        <f>'PLANTILLA INV. PISO (0)'!AA34</f>
        <v>0</v>
      </c>
    </row>
    <row r="39" spans="1:11" ht="15" customHeight="1" x14ac:dyDescent="0.3">
      <c r="A39" s="350">
        <f>'PLANTILLA INV. PISO (0)'!A35</f>
        <v>160101</v>
      </c>
      <c r="B39" s="350" t="str">
        <f>'PLANTILLA INV. PISO (0)'!B35</f>
        <v>SCHEPPES SODA 1,5 LTS</v>
      </c>
      <c r="C39" s="351">
        <f>'MODIFICAR CODIGOS '!E35</f>
        <v>12</v>
      </c>
      <c r="D39" s="352">
        <f>'PLANTILLA INV. PISO (0)'!U35</f>
        <v>35.020000000000003</v>
      </c>
      <c r="E39" s="132"/>
      <c r="F39" s="339">
        <f t="shared" si="0"/>
        <v>35</v>
      </c>
      <c r="G39" s="340">
        <f t="shared" si="1"/>
        <v>2.0000000000003126</v>
      </c>
      <c r="H39" s="341">
        <f t="shared" si="2"/>
        <v>0.16666666666669272</v>
      </c>
      <c r="I39" s="342">
        <f t="shared" si="3"/>
        <v>35.166666666666693</v>
      </c>
      <c r="K39" s="333">
        <f>'PLANTILLA INV. PISO (0)'!AA35</f>
        <v>0</v>
      </c>
    </row>
    <row r="40" spans="1:11" ht="15" customHeight="1" x14ac:dyDescent="0.3">
      <c r="A40" s="350">
        <f>'PLANTILLA INV. PISO (0)'!A36</f>
        <v>160099</v>
      </c>
      <c r="B40" s="350" t="str">
        <f>'PLANTILLA INV. PISO (0)'!B36</f>
        <v xml:space="preserve">KOLA ROMA 1,5 LTS </v>
      </c>
      <c r="C40" s="351">
        <f>'MODIFICAR CODIGOS '!E36</f>
        <v>12</v>
      </c>
      <c r="D40" s="352">
        <f>'PLANTILLA INV. PISO (0)'!U36</f>
        <v>3.02</v>
      </c>
      <c r="E40" s="132"/>
      <c r="F40" s="339">
        <f t="shared" si="0"/>
        <v>3</v>
      </c>
      <c r="G40" s="340">
        <f t="shared" si="1"/>
        <v>2.0000000000000018</v>
      </c>
      <c r="H40" s="341">
        <f t="shared" si="2"/>
        <v>0.16666666666666682</v>
      </c>
      <c r="I40" s="342">
        <f t="shared" si="3"/>
        <v>3.166666666666667</v>
      </c>
      <c r="K40" s="333">
        <f>'PLANTILLA INV. PISO (0)'!AA36</f>
        <v>0</v>
      </c>
    </row>
    <row r="41" spans="1:11" ht="15" customHeight="1" x14ac:dyDescent="0.3">
      <c r="A41" s="350" t="str">
        <f>'PLANTILLA INV. PISO (0)'!A37</f>
        <v>*</v>
      </c>
      <c r="B41" s="350">
        <f>'PLANTILLA INV. PISO (0)'!B37</f>
        <v>0</v>
      </c>
      <c r="C41" s="351">
        <f>'MODIFICAR CODIGOS '!E37</f>
        <v>0</v>
      </c>
      <c r="D41" s="352">
        <f>'PLANTILLA INV. PISO (0)'!U37</f>
        <v>0</v>
      </c>
      <c r="E41" s="132"/>
      <c r="F41" s="339">
        <f t="shared" si="0"/>
        <v>0</v>
      </c>
      <c r="G41" s="340">
        <f t="shared" si="1"/>
        <v>0</v>
      </c>
      <c r="H41" s="341" t="e">
        <f t="shared" si="2"/>
        <v>#DIV/0!</v>
      </c>
      <c r="I41" s="342" t="e">
        <f t="shared" si="3"/>
        <v>#DIV/0!</v>
      </c>
      <c r="K41" s="333">
        <f>'PLANTILLA INV. PISO (0)'!AA37</f>
        <v>0</v>
      </c>
    </row>
    <row r="42" spans="1:11" ht="15" customHeight="1" x14ac:dyDescent="0.3">
      <c r="A42" s="350">
        <f>'PLANTILLA INV. PISO (0)'!A38</f>
        <v>0</v>
      </c>
      <c r="B42" s="350">
        <f>'PLANTILLA INV. PISO (0)'!B38</f>
        <v>0</v>
      </c>
      <c r="C42" s="351">
        <f>'MODIFICAR CODIGOS '!E38</f>
        <v>1</v>
      </c>
      <c r="D42" s="352">
        <f>'PLANTILLA INV. PISO (0)'!U38</f>
        <v>0</v>
      </c>
      <c r="E42" s="132"/>
      <c r="F42" s="339">
        <f t="shared" si="0"/>
        <v>0</v>
      </c>
      <c r="G42" s="340">
        <f t="shared" si="1"/>
        <v>0</v>
      </c>
      <c r="H42" s="341">
        <f t="shared" si="2"/>
        <v>0</v>
      </c>
      <c r="I42" s="342">
        <f t="shared" si="3"/>
        <v>0</v>
      </c>
      <c r="K42" s="333">
        <f>'PLANTILLA INV. PISO (0)'!AA38</f>
        <v>0</v>
      </c>
    </row>
    <row r="43" spans="1:11" ht="15" customHeight="1" x14ac:dyDescent="0.3">
      <c r="A43" s="350">
        <f>'PLANTILLA INV. PISO (0)'!A39</f>
        <v>136133</v>
      </c>
      <c r="B43" s="350" t="str">
        <f>'PLANTILLA INV. PISO (0)'!B39</f>
        <v>COCA COLA 2.25L PET(8) EINSTEIN</v>
      </c>
      <c r="C43" s="351">
        <f>'MODIFICAR CODIGOS '!E39</f>
        <v>8</v>
      </c>
      <c r="D43" s="352">
        <f>'PLANTILLA INV. PISO (0)'!U39</f>
        <v>127.01</v>
      </c>
      <c r="E43" s="132"/>
      <c r="F43" s="339">
        <f t="shared" si="0"/>
        <v>127</v>
      </c>
      <c r="G43" s="340">
        <f t="shared" si="1"/>
        <v>1.0000000000005116</v>
      </c>
      <c r="H43" s="341">
        <f t="shared" si="2"/>
        <v>0.12500000000006395</v>
      </c>
      <c r="I43" s="342">
        <f t="shared" si="3"/>
        <v>127.12500000000006</v>
      </c>
      <c r="K43" s="333">
        <f>'PLANTILLA INV. PISO (0)'!AA39</f>
        <v>0</v>
      </c>
    </row>
    <row r="44" spans="1:11" ht="15" customHeight="1" x14ac:dyDescent="0.3">
      <c r="A44" s="350">
        <f>'PLANTILLA INV. PISO (0)'!A40</f>
        <v>0</v>
      </c>
      <c r="B44" s="350">
        <f>'PLANTILLA INV. PISO (0)'!B40</f>
        <v>0</v>
      </c>
      <c r="C44" s="351">
        <f>'MODIFICAR CODIGOS '!E40</f>
        <v>1</v>
      </c>
      <c r="D44" s="352">
        <f>'PLANTILLA INV. PISO (0)'!U40</f>
        <v>0</v>
      </c>
      <c r="E44" s="132"/>
      <c r="F44" s="339">
        <f t="shared" si="0"/>
        <v>0</v>
      </c>
      <c r="G44" s="340">
        <f t="shared" si="1"/>
        <v>0</v>
      </c>
      <c r="H44" s="341">
        <f t="shared" si="2"/>
        <v>0</v>
      </c>
      <c r="I44" s="342">
        <f t="shared" si="3"/>
        <v>0</v>
      </c>
      <c r="K44" s="333">
        <f>'PLANTILLA INV. PISO (0)'!AA40</f>
        <v>0</v>
      </c>
    </row>
    <row r="45" spans="1:11" ht="15" customHeight="1" x14ac:dyDescent="0.3">
      <c r="A45" s="350">
        <f>'PLANTILLA INV. PISO (0)'!A41</f>
        <v>0</v>
      </c>
      <c r="B45" s="350">
        <f>'PLANTILLA INV. PISO (0)'!B41</f>
        <v>0</v>
      </c>
      <c r="C45" s="351">
        <f>'MODIFICAR CODIGOS '!E41</f>
        <v>1</v>
      </c>
      <c r="D45" s="352">
        <f>'PLANTILLA INV. PISO (0)'!U41</f>
        <v>0</v>
      </c>
      <c r="E45" s="132"/>
      <c r="F45" s="339">
        <f t="shared" si="0"/>
        <v>0</v>
      </c>
      <c r="G45" s="340">
        <f t="shared" si="1"/>
        <v>0</v>
      </c>
      <c r="H45" s="341">
        <f t="shared" si="2"/>
        <v>0</v>
      </c>
      <c r="I45" s="342">
        <f t="shared" si="3"/>
        <v>0</v>
      </c>
      <c r="K45" s="333">
        <f>'PLANTILLA INV. PISO (0)'!AA41</f>
        <v>0</v>
      </c>
    </row>
    <row r="46" spans="1:11" ht="15" customHeight="1" x14ac:dyDescent="0.3">
      <c r="A46" s="350">
        <f>'PLANTILLA INV. PISO (0)'!A42</f>
        <v>0</v>
      </c>
      <c r="B46" s="350">
        <f>'PLANTILLA INV. PISO (0)'!B42</f>
        <v>0</v>
      </c>
      <c r="C46" s="351">
        <f>'MODIFICAR CODIGOS '!E42</f>
        <v>1</v>
      </c>
      <c r="D46" s="352">
        <f>'PLANTILLA INV. PISO (0)'!U42</f>
        <v>0</v>
      </c>
      <c r="E46" s="132"/>
      <c r="F46" s="339">
        <f t="shared" si="0"/>
        <v>0</v>
      </c>
      <c r="G46" s="340">
        <f t="shared" si="1"/>
        <v>0</v>
      </c>
      <c r="H46" s="341">
        <f t="shared" si="2"/>
        <v>0</v>
      </c>
      <c r="I46" s="342">
        <f t="shared" si="3"/>
        <v>0</v>
      </c>
      <c r="K46" s="333">
        <f>'PLANTILLA INV. PISO (0)'!AA42</f>
        <v>0</v>
      </c>
    </row>
    <row r="47" spans="1:11" ht="15" customHeight="1" x14ac:dyDescent="0.3">
      <c r="A47" s="350">
        <f>'PLANTILLA INV. PISO (0)'!A43</f>
        <v>0</v>
      </c>
      <c r="B47" s="350">
        <f>'PLANTILLA INV. PISO (0)'!B43</f>
        <v>0</v>
      </c>
      <c r="C47" s="351">
        <f>'MODIFICAR CODIGOS '!E43</f>
        <v>1</v>
      </c>
      <c r="D47" s="352">
        <f>'PLANTILLA INV. PISO (0)'!U43</f>
        <v>0</v>
      </c>
      <c r="E47" s="132"/>
      <c r="F47" s="339">
        <f t="shared" si="0"/>
        <v>0</v>
      </c>
      <c r="G47" s="340">
        <f t="shared" si="1"/>
        <v>0</v>
      </c>
      <c r="H47" s="341">
        <f t="shared" si="2"/>
        <v>0</v>
      </c>
      <c r="I47" s="342">
        <f t="shared" si="3"/>
        <v>0</v>
      </c>
      <c r="K47" s="333">
        <f>'PLANTILLA INV. PISO (0)'!AA43</f>
        <v>0</v>
      </c>
    </row>
    <row r="48" spans="1:11" ht="15" customHeight="1" x14ac:dyDescent="0.3">
      <c r="A48" s="350">
        <f>'PLANTILLA INV. PISO (0)'!A44</f>
        <v>0</v>
      </c>
      <c r="B48" s="350">
        <f>'PLANTILLA INV. PISO (0)'!B44</f>
        <v>0</v>
      </c>
      <c r="C48" s="351">
        <f>'MODIFICAR CODIGOS '!E44</f>
        <v>1</v>
      </c>
      <c r="D48" s="352">
        <f>'PLANTILLA INV. PISO (0)'!U44</f>
        <v>0</v>
      </c>
      <c r="E48" s="132"/>
      <c r="F48" s="339">
        <f t="shared" si="0"/>
        <v>0</v>
      </c>
      <c r="G48" s="340">
        <f t="shared" si="1"/>
        <v>0</v>
      </c>
      <c r="H48" s="341">
        <f t="shared" si="2"/>
        <v>0</v>
      </c>
      <c r="I48" s="342">
        <f t="shared" si="3"/>
        <v>0</v>
      </c>
      <c r="K48" s="333">
        <f>'PLANTILLA INV. PISO (0)'!AA44</f>
        <v>0</v>
      </c>
    </row>
    <row r="49" spans="1:11" ht="15" customHeight="1" x14ac:dyDescent="0.3">
      <c r="A49" s="350">
        <f>'PLANTILLA INV. PISO (0)'!A45</f>
        <v>0</v>
      </c>
      <c r="B49" s="350">
        <f>'PLANTILLA INV. PISO (0)'!B45</f>
        <v>0</v>
      </c>
      <c r="C49" s="351">
        <f>'MODIFICAR CODIGOS '!E45</f>
        <v>1</v>
      </c>
      <c r="D49" s="352">
        <f>'PLANTILLA INV. PISO (0)'!U45</f>
        <v>0</v>
      </c>
      <c r="E49" s="132"/>
      <c r="F49" s="339">
        <f t="shared" si="0"/>
        <v>0</v>
      </c>
      <c r="G49" s="340">
        <f t="shared" si="1"/>
        <v>0</v>
      </c>
      <c r="H49" s="341">
        <f t="shared" si="2"/>
        <v>0</v>
      </c>
      <c r="I49" s="342">
        <f t="shared" si="3"/>
        <v>0</v>
      </c>
      <c r="K49" s="333">
        <f>'PLANTILLA INV. PISO (0)'!AA45</f>
        <v>0</v>
      </c>
    </row>
    <row r="50" spans="1:11" ht="15" customHeight="1" x14ac:dyDescent="0.3">
      <c r="A50" s="350">
        <f>'PLANTILLA INV. PISO (0)'!A46</f>
        <v>0</v>
      </c>
      <c r="B50" s="350">
        <f>'PLANTILLA INV. PISO (0)'!B46</f>
        <v>0</v>
      </c>
      <c r="C50" s="351">
        <f>'MODIFICAR CODIGOS '!E46</f>
        <v>1</v>
      </c>
      <c r="D50" s="352">
        <f>'PLANTILLA INV. PISO (0)'!U46</f>
        <v>0</v>
      </c>
      <c r="E50" s="132"/>
      <c r="F50" s="339">
        <f t="shared" si="0"/>
        <v>0</v>
      </c>
      <c r="G50" s="340">
        <f t="shared" si="1"/>
        <v>0</v>
      </c>
      <c r="H50" s="341">
        <f t="shared" si="2"/>
        <v>0</v>
      </c>
      <c r="I50" s="342">
        <f t="shared" si="3"/>
        <v>0</v>
      </c>
      <c r="K50" s="333">
        <f>'PLANTILLA INV. PISO (0)'!AA46</f>
        <v>0</v>
      </c>
    </row>
    <row r="51" spans="1:11" ht="15" customHeight="1" x14ac:dyDescent="0.3">
      <c r="A51" s="350">
        <f>'PLANTILLA INV. PISO (0)'!A47</f>
        <v>0</v>
      </c>
      <c r="B51" s="350">
        <f>'PLANTILLA INV. PISO (0)'!B47</f>
        <v>0</v>
      </c>
      <c r="C51" s="351">
        <f>'MODIFICAR CODIGOS '!E47</f>
        <v>1</v>
      </c>
      <c r="D51" s="352">
        <f>'PLANTILLA INV. PISO (0)'!U47</f>
        <v>0</v>
      </c>
      <c r="E51" s="132"/>
      <c r="F51" s="339">
        <f t="shared" si="0"/>
        <v>0</v>
      </c>
      <c r="G51" s="340">
        <f t="shared" si="1"/>
        <v>0</v>
      </c>
      <c r="H51" s="341">
        <f t="shared" si="2"/>
        <v>0</v>
      </c>
      <c r="I51" s="342">
        <f t="shared" si="3"/>
        <v>0</v>
      </c>
      <c r="K51" s="333">
        <f>'PLANTILLA INV. PISO (0)'!AA47</f>
        <v>0</v>
      </c>
    </row>
    <row r="52" spans="1:11" ht="15" customHeight="1" x14ac:dyDescent="0.3">
      <c r="A52" s="350">
        <f>'PLANTILLA INV. PISO (0)'!A48</f>
        <v>0</v>
      </c>
      <c r="B52" s="350">
        <f>'PLANTILLA INV. PISO (0)'!B48</f>
        <v>0</v>
      </c>
      <c r="C52" s="351">
        <f>'MODIFICAR CODIGOS '!E48</f>
        <v>1</v>
      </c>
      <c r="D52" s="352">
        <f>'PLANTILLA INV. PISO (0)'!U48</f>
        <v>0</v>
      </c>
      <c r="E52" s="132"/>
      <c r="F52" s="339">
        <f t="shared" si="0"/>
        <v>0</v>
      </c>
      <c r="G52" s="340">
        <f t="shared" si="1"/>
        <v>0</v>
      </c>
      <c r="H52" s="341">
        <f t="shared" si="2"/>
        <v>0</v>
      </c>
      <c r="I52" s="342">
        <f t="shared" si="3"/>
        <v>0</v>
      </c>
      <c r="K52" s="333">
        <f>'PLANTILLA INV. PISO (0)'!AA48</f>
        <v>0</v>
      </c>
    </row>
    <row r="53" spans="1:11" ht="15" customHeight="1" x14ac:dyDescent="0.3">
      <c r="A53" s="350">
        <f>'PLANTILLA INV. PISO (0)'!A49</f>
        <v>0</v>
      </c>
      <c r="B53" s="350">
        <f>'PLANTILLA INV. PISO (0)'!B49</f>
        <v>0</v>
      </c>
      <c r="C53" s="351">
        <f>'MODIFICAR CODIGOS '!E49</f>
        <v>1</v>
      </c>
      <c r="D53" s="352">
        <f>'PLANTILLA INV. PISO (0)'!U49</f>
        <v>0</v>
      </c>
      <c r="E53" s="132"/>
      <c r="F53" s="339">
        <f t="shared" si="0"/>
        <v>0</v>
      </c>
      <c r="G53" s="340">
        <f t="shared" si="1"/>
        <v>0</v>
      </c>
      <c r="H53" s="341">
        <f t="shared" si="2"/>
        <v>0</v>
      </c>
      <c r="I53" s="342">
        <f t="shared" si="3"/>
        <v>0</v>
      </c>
      <c r="K53" s="333">
        <f>'PLANTILLA INV. PISO (0)'!AA49</f>
        <v>0</v>
      </c>
    </row>
    <row r="54" spans="1:11" ht="15" customHeight="1" x14ac:dyDescent="0.3">
      <c r="A54" s="350">
        <f>'PLANTILLA INV. PISO (0)'!A50</f>
        <v>0</v>
      </c>
      <c r="B54" s="350">
        <f>'PLANTILLA INV. PISO (0)'!B50</f>
        <v>0</v>
      </c>
      <c r="C54" s="351">
        <f>'MODIFICAR CODIGOS '!E50</f>
        <v>1</v>
      </c>
      <c r="D54" s="352">
        <f>'PLANTILLA INV. PISO (0)'!U50</f>
        <v>0</v>
      </c>
      <c r="E54" s="132"/>
      <c r="F54" s="339">
        <f t="shared" si="0"/>
        <v>0</v>
      </c>
      <c r="G54" s="340">
        <f t="shared" si="1"/>
        <v>0</v>
      </c>
      <c r="H54" s="341">
        <f t="shared" si="2"/>
        <v>0</v>
      </c>
      <c r="I54" s="342">
        <f t="shared" si="3"/>
        <v>0</v>
      </c>
      <c r="K54" s="333">
        <f>'PLANTILLA INV. PISO (0)'!AA50</f>
        <v>0</v>
      </c>
    </row>
    <row r="55" spans="1:11" ht="15" customHeight="1" x14ac:dyDescent="0.3">
      <c r="A55" s="350">
        <f>'PLANTILLA INV. PISO (0)'!A51</f>
        <v>0</v>
      </c>
      <c r="B55" s="350">
        <f>'PLANTILLA INV. PISO (0)'!B51</f>
        <v>0</v>
      </c>
      <c r="C55" s="351">
        <f>'MODIFICAR CODIGOS '!E51</f>
        <v>1</v>
      </c>
      <c r="D55" s="352">
        <f>'PLANTILLA INV. PISO (0)'!U51</f>
        <v>0</v>
      </c>
      <c r="E55" s="132"/>
      <c r="F55" s="339">
        <f t="shared" si="0"/>
        <v>0</v>
      </c>
      <c r="G55" s="340">
        <f t="shared" si="1"/>
        <v>0</v>
      </c>
      <c r="H55" s="341">
        <f t="shared" si="2"/>
        <v>0</v>
      </c>
      <c r="I55" s="342">
        <f t="shared" si="3"/>
        <v>0</v>
      </c>
      <c r="K55" s="333">
        <f>'PLANTILLA INV. PISO (0)'!AA51</f>
        <v>0</v>
      </c>
    </row>
    <row r="56" spans="1:11" ht="15" customHeight="1" x14ac:dyDescent="0.3">
      <c r="A56" s="350" t="str">
        <f>'PLANTILLA INV. PISO (0)'!A52</f>
        <v>*</v>
      </c>
      <c r="B56" s="350">
        <f>'PLANTILLA INV. PISO (0)'!B52</f>
        <v>0</v>
      </c>
      <c r="C56" s="351">
        <f>'MODIFICAR CODIGOS '!E52</f>
        <v>0</v>
      </c>
      <c r="D56" s="352">
        <f>'PLANTILLA INV. PISO (0)'!U52</f>
        <v>0</v>
      </c>
      <c r="E56" s="132"/>
      <c r="F56" s="339">
        <f t="shared" si="0"/>
        <v>0</v>
      </c>
      <c r="G56" s="340">
        <f t="shared" si="1"/>
        <v>0</v>
      </c>
      <c r="H56" s="341" t="e">
        <f t="shared" si="2"/>
        <v>#DIV/0!</v>
      </c>
      <c r="I56" s="342" t="e">
        <f t="shared" si="3"/>
        <v>#DIV/0!</v>
      </c>
      <c r="K56" s="333">
        <f>'PLANTILLA INV. PISO (0)'!AA52</f>
        <v>0</v>
      </c>
    </row>
    <row r="57" spans="1:11" ht="15" customHeight="1" x14ac:dyDescent="0.3">
      <c r="A57" s="350">
        <f>'PLANTILLA INV. PISO (0)'!A53</f>
        <v>0</v>
      </c>
      <c r="B57" s="350">
        <f>'PLANTILLA INV. PISO (0)'!B53</f>
        <v>0</v>
      </c>
      <c r="C57" s="351">
        <f>'MODIFICAR CODIGOS '!E53</f>
        <v>1</v>
      </c>
      <c r="D57" s="352">
        <f>'PLANTILLA INV. PISO (0)'!U53</f>
        <v>0</v>
      </c>
      <c r="E57" s="132"/>
      <c r="F57" s="339">
        <f t="shared" si="0"/>
        <v>0</v>
      </c>
      <c r="G57" s="340">
        <f t="shared" si="1"/>
        <v>0</v>
      </c>
      <c r="H57" s="341">
        <f t="shared" si="2"/>
        <v>0</v>
      </c>
      <c r="I57" s="342">
        <f t="shared" si="3"/>
        <v>0</v>
      </c>
      <c r="K57" s="333">
        <f>'PLANTILLA INV. PISO (0)'!AA53</f>
        <v>0</v>
      </c>
    </row>
    <row r="58" spans="1:11" ht="15" customHeight="1" x14ac:dyDescent="0.3">
      <c r="A58" s="350">
        <f>'PLANTILLA INV. PISO (0)'!A54</f>
        <v>0</v>
      </c>
      <c r="B58" s="350">
        <f>'PLANTILLA INV. PISO (0)'!B54</f>
        <v>0</v>
      </c>
      <c r="C58" s="351">
        <f>'MODIFICAR CODIGOS '!E54</f>
        <v>1</v>
      </c>
      <c r="D58" s="352">
        <f>'PLANTILLA INV. PISO (0)'!U54</f>
        <v>0</v>
      </c>
      <c r="E58" s="132"/>
      <c r="F58" s="339">
        <f t="shared" si="0"/>
        <v>0</v>
      </c>
      <c r="G58" s="340">
        <f t="shared" si="1"/>
        <v>0</v>
      </c>
      <c r="H58" s="341">
        <f t="shared" si="2"/>
        <v>0</v>
      </c>
      <c r="I58" s="342">
        <f t="shared" si="3"/>
        <v>0</v>
      </c>
      <c r="K58" s="333">
        <f>'PLANTILLA INV. PISO (0)'!AA54</f>
        <v>0</v>
      </c>
    </row>
    <row r="59" spans="1:11" ht="15" customHeight="1" x14ac:dyDescent="0.3">
      <c r="A59" s="350">
        <f>'PLANTILLA INV. PISO (0)'!A55</f>
        <v>0</v>
      </c>
      <c r="B59" s="350">
        <f>'PLANTILLA INV. PISO (0)'!B55</f>
        <v>0</v>
      </c>
      <c r="C59" s="351">
        <f>'MODIFICAR CODIGOS '!E55</f>
        <v>1</v>
      </c>
      <c r="D59" s="352">
        <f>'PLANTILLA INV. PISO (0)'!U55</f>
        <v>0</v>
      </c>
      <c r="E59" s="132"/>
      <c r="F59" s="339">
        <f t="shared" si="0"/>
        <v>0</v>
      </c>
      <c r="G59" s="340">
        <f t="shared" si="1"/>
        <v>0</v>
      </c>
      <c r="H59" s="341">
        <f t="shared" si="2"/>
        <v>0</v>
      </c>
      <c r="I59" s="342">
        <f t="shared" si="3"/>
        <v>0</v>
      </c>
      <c r="K59" s="333">
        <f>'PLANTILLA INV. PISO (0)'!AA55</f>
        <v>0</v>
      </c>
    </row>
    <row r="60" spans="1:11" ht="15" customHeight="1" x14ac:dyDescent="0.3">
      <c r="A60" s="350" t="str">
        <f>'PLANTILLA INV. PISO (0)'!A56</f>
        <v>*</v>
      </c>
      <c r="B60" s="350">
        <f>'PLANTILLA INV. PISO (0)'!B56</f>
        <v>0</v>
      </c>
      <c r="C60" s="351">
        <f>'MODIFICAR CODIGOS '!E56</f>
        <v>0</v>
      </c>
      <c r="D60" s="352">
        <f>'PLANTILLA INV. PISO (0)'!U56</f>
        <v>0</v>
      </c>
      <c r="E60" s="132"/>
      <c r="F60" s="339">
        <f t="shared" si="0"/>
        <v>0</v>
      </c>
      <c r="G60" s="340">
        <f t="shared" si="1"/>
        <v>0</v>
      </c>
      <c r="H60" s="341" t="e">
        <f t="shared" si="2"/>
        <v>#DIV/0!</v>
      </c>
      <c r="I60" s="342" t="e">
        <f t="shared" si="3"/>
        <v>#DIV/0!</v>
      </c>
      <c r="K60" s="333">
        <f>'PLANTILLA INV. PISO (0)'!AA56</f>
        <v>0</v>
      </c>
    </row>
    <row r="61" spans="1:11" ht="15" customHeight="1" x14ac:dyDescent="0.3">
      <c r="A61" s="350">
        <f>'PLANTILLA INV. PISO (0)'!A57</f>
        <v>0</v>
      </c>
      <c r="B61" s="350">
        <f>'PLANTILLA INV. PISO (0)'!B57</f>
        <v>0</v>
      </c>
      <c r="C61" s="351">
        <f>'MODIFICAR CODIGOS '!E57</f>
        <v>1</v>
      </c>
      <c r="D61" s="352">
        <f>'PLANTILLA INV. PISO (0)'!U57</f>
        <v>0</v>
      </c>
      <c r="E61" s="132"/>
      <c r="F61" s="339">
        <f t="shared" si="0"/>
        <v>0</v>
      </c>
      <c r="G61" s="340">
        <f t="shared" si="1"/>
        <v>0</v>
      </c>
      <c r="H61" s="341">
        <f t="shared" si="2"/>
        <v>0</v>
      </c>
      <c r="I61" s="342">
        <f t="shared" si="3"/>
        <v>0</v>
      </c>
      <c r="K61" s="333">
        <f>'PLANTILLA INV. PISO (0)'!AA57</f>
        <v>0</v>
      </c>
    </row>
    <row r="62" spans="1:11" ht="15" customHeight="1" x14ac:dyDescent="0.3">
      <c r="A62" s="350">
        <f>'PLANTILLA INV. PISO (0)'!A58</f>
        <v>0</v>
      </c>
      <c r="B62" s="350">
        <f>'PLANTILLA INV. PISO (0)'!B58</f>
        <v>0</v>
      </c>
      <c r="C62" s="351">
        <f>'MODIFICAR CODIGOS '!E58</f>
        <v>1</v>
      </c>
      <c r="D62" s="352">
        <f>'PLANTILLA INV. PISO (0)'!U58</f>
        <v>0</v>
      </c>
      <c r="E62" s="132"/>
      <c r="F62" s="339">
        <f t="shared" si="0"/>
        <v>0</v>
      </c>
      <c r="G62" s="340">
        <f t="shared" si="1"/>
        <v>0</v>
      </c>
      <c r="H62" s="341">
        <f t="shared" si="2"/>
        <v>0</v>
      </c>
      <c r="I62" s="342">
        <f t="shared" si="3"/>
        <v>0</v>
      </c>
      <c r="K62" s="333">
        <f>'PLANTILLA INV. PISO (0)'!AA58</f>
        <v>0</v>
      </c>
    </row>
    <row r="63" spans="1:11" ht="15" customHeight="1" x14ac:dyDescent="0.3">
      <c r="A63" s="350">
        <f>'PLANTILLA INV. PISO (0)'!A59</f>
        <v>0</v>
      </c>
      <c r="B63" s="350">
        <f>'PLANTILLA INV. PISO (0)'!B59</f>
        <v>0</v>
      </c>
      <c r="C63" s="351">
        <f>'MODIFICAR CODIGOS '!E59</f>
        <v>1</v>
      </c>
      <c r="D63" s="352">
        <f>'PLANTILLA INV. PISO (0)'!U59</f>
        <v>0</v>
      </c>
      <c r="E63" s="132"/>
      <c r="F63" s="339">
        <f t="shared" si="0"/>
        <v>0</v>
      </c>
      <c r="G63" s="340">
        <f t="shared" si="1"/>
        <v>0</v>
      </c>
      <c r="H63" s="341">
        <f t="shared" si="2"/>
        <v>0</v>
      </c>
      <c r="I63" s="342">
        <f t="shared" si="3"/>
        <v>0</v>
      </c>
      <c r="K63" s="333">
        <f>'PLANTILLA INV. PISO (0)'!AA59</f>
        <v>0</v>
      </c>
    </row>
    <row r="64" spans="1:11" ht="15" customHeight="1" x14ac:dyDescent="0.3">
      <c r="A64" s="350">
        <f>'PLANTILLA INV. PISO (0)'!A60</f>
        <v>0</v>
      </c>
      <c r="B64" s="350">
        <f>'PLANTILLA INV. PISO (0)'!B60</f>
        <v>0</v>
      </c>
      <c r="C64" s="351">
        <f>'MODIFICAR CODIGOS '!E60</f>
        <v>1</v>
      </c>
      <c r="D64" s="352">
        <f>'PLANTILLA INV. PISO (0)'!U60</f>
        <v>0</v>
      </c>
      <c r="E64" s="132"/>
      <c r="F64" s="339">
        <f t="shared" si="0"/>
        <v>0</v>
      </c>
      <c r="G64" s="340">
        <f t="shared" si="1"/>
        <v>0</v>
      </c>
      <c r="H64" s="341">
        <f t="shared" si="2"/>
        <v>0</v>
      </c>
      <c r="I64" s="342">
        <f t="shared" si="3"/>
        <v>0</v>
      </c>
      <c r="K64" s="333">
        <f>'PLANTILLA INV. PISO (0)'!AA60</f>
        <v>0</v>
      </c>
    </row>
    <row r="65" spans="1:11" ht="15" customHeight="1" x14ac:dyDescent="0.3">
      <c r="A65" s="350" t="str">
        <f>'PLANTILLA INV. PISO (0)'!A61</f>
        <v>CODIGO</v>
      </c>
      <c r="B65" s="350" t="str">
        <f>'PLANTILLA INV. PISO (0)'!B61</f>
        <v>PRODUCTO</v>
      </c>
      <c r="C65" s="351">
        <f>'MODIFICAR CODIGOS '!E61</f>
        <v>0</v>
      </c>
      <c r="D65" s="352" t="str">
        <f>'PLANTILLA INV. PISO (0)'!U61</f>
        <v>TOTAL</v>
      </c>
      <c r="E65" s="132"/>
      <c r="F65" s="339" t="e">
        <f t="shared" si="0"/>
        <v>#VALUE!</v>
      </c>
      <c r="G65" s="340" t="e">
        <f t="shared" si="1"/>
        <v>#VALUE!</v>
      </c>
      <c r="H65" s="341" t="e">
        <f t="shared" si="2"/>
        <v>#VALUE!</v>
      </c>
      <c r="I65" s="342" t="e">
        <f t="shared" si="3"/>
        <v>#VALUE!</v>
      </c>
      <c r="K65" s="333" t="str">
        <f>'PLANTILLA INV. PISO (0)'!AA61</f>
        <v>FECHA TPM</v>
      </c>
    </row>
    <row r="66" spans="1:11" ht="15" customHeight="1" x14ac:dyDescent="0.3">
      <c r="A66" s="350">
        <f>'PLANTILLA INV. PISO (0)'!A62</f>
        <v>0</v>
      </c>
      <c r="B66" s="350">
        <f>'PLANTILLA INV. PISO (0)'!B62</f>
        <v>0</v>
      </c>
      <c r="C66" s="351">
        <f>'MODIFICAR CODIGOS '!E62</f>
        <v>1</v>
      </c>
      <c r="D66" s="352">
        <f>'PLANTILLA INV. PISO (0)'!U62</f>
        <v>0</v>
      </c>
      <c r="E66" s="132"/>
      <c r="F66" s="339">
        <f t="shared" si="0"/>
        <v>0</v>
      </c>
      <c r="G66" s="340">
        <f t="shared" si="1"/>
        <v>0</v>
      </c>
      <c r="H66" s="341">
        <f t="shared" si="2"/>
        <v>0</v>
      </c>
      <c r="I66" s="342">
        <f t="shared" si="3"/>
        <v>0</v>
      </c>
      <c r="K66" s="333">
        <f>'PLANTILLA INV. PISO (0)'!AA62</f>
        <v>0</v>
      </c>
    </row>
    <row r="67" spans="1:11" ht="15" customHeight="1" x14ac:dyDescent="0.3">
      <c r="A67" s="350">
        <f>'PLANTILLA INV. PISO (0)'!A63</f>
        <v>135662</v>
      </c>
      <c r="B67" s="350" t="str">
        <f>'PLANTILLA INV. PISO (0)'!B63</f>
        <v>COCA-COLA 3 LITROS PET(6) Nvo</v>
      </c>
      <c r="C67" s="351">
        <f>'MODIFICAR CODIGOS '!E63</f>
        <v>6</v>
      </c>
      <c r="D67" s="352">
        <f>'PLANTILLA INV. PISO (0)'!U63</f>
        <v>967.02</v>
      </c>
      <c r="E67" s="132"/>
      <c r="F67" s="339">
        <f t="shared" si="0"/>
        <v>967</v>
      </c>
      <c r="G67" s="340">
        <f t="shared" si="1"/>
        <v>1.999999999998181</v>
      </c>
      <c r="H67" s="341">
        <f t="shared" si="2"/>
        <v>0.33333333333303017</v>
      </c>
      <c r="I67" s="342">
        <f t="shared" si="3"/>
        <v>967.33333333333303</v>
      </c>
      <c r="K67" s="333">
        <f>'PLANTILLA INV. PISO (0)'!AA63</f>
        <v>0</v>
      </c>
    </row>
    <row r="68" spans="1:11" ht="15" customHeight="1" x14ac:dyDescent="0.3">
      <c r="A68" s="350">
        <f>'PLANTILLA INV. PISO (0)'!A64</f>
        <v>160124</v>
      </c>
      <c r="B68" s="350" t="str">
        <f>'PLANTILLA INV. PISO (0)'!B64</f>
        <v>SPRITE 3 LTS PET (6)</v>
      </c>
      <c r="C68" s="351">
        <f>'MODIFICAR CODIGOS '!E64</f>
        <v>6</v>
      </c>
      <c r="D68" s="352">
        <f>'PLANTILLA INV. PISO (0)'!U64</f>
        <v>0</v>
      </c>
      <c r="E68" s="132"/>
      <c r="F68" s="339">
        <f t="shared" si="0"/>
        <v>0</v>
      </c>
      <c r="G68" s="340">
        <f t="shared" si="1"/>
        <v>0</v>
      </c>
      <c r="H68" s="341">
        <f t="shared" si="2"/>
        <v>0</v>
      </c>
      <c r="I68" s="342">
        <f t="shared" si="3"/>
        <v>0</v>
      </c>
      <c r="K68" s="333">
        <f>'PLANTILLA INV. PISO (0)'!AA64</f>
        <v>0</v>
      </c>
    </row>
    <row r="69" spans="1:11" ht="15" customHeight="1" x14ac:dyDescent="0.3">
      <c r="A69" s="350">
        <f>'PLANTILLA INV. PISO (0)'!A65</f>
        <v>56711</v>
      </c>
      <c r="B69" s="350" t="str">
        <f>'PLANTILLA INV. PISO (0)'!B65</f>
        <v>QUATRO 3 LTS PET (6)</v>
      </c>
      <c r="C69" s="351">
        <f>'MODIFICAR CODIGOS '!E65</f>
        <v>6</v>
      </c>
      <c r="D69" s="352">
        <f>'PLANTILLA INV. PISO (0)'!U65</f>
        <v>51.03</v>
      </c>
      <c r="E69" s="132"/>
      <c r="F69" s="339">
        <f t="shared" si="0"/>
        <v>51</v>
      </c>
      <c r="G69" s="340">
        <f t="shared" si="1"/>
        <v>3.0000000000001137</v>
      </c>
      <c r="H69" s="341">
        <f t="shared" si="2"/>
        <v>0.50000000000001898</v>
      </c>
      <c r="I69" s="342">
        <f t="shared" si="3"/>
        <v>51.500000000000021</v>
      </c>
      <c r="K69" s="333">
        <f>'PLANTILLA INV. PISO (0)'!AA65</f>
        <v>0</v>
      </c>
    </row>
    <row r="70" spans="1:11" ht="15" customHeight="1" x14ac:dyDescent="0.3">
      <c r="A70" s="350">
        <f>'PLANTILLA INV. PISO (0)'!A66</f>
        <v>56625</v>
      </c>
      <c r="B70" s="350" t="str">
        <f>'PLANTILLA INV. PISO (0)'!B66</f>
        <v>PREMIO ROJO 3 LTS  PET (6)</v>
      </c>
      <c r="C70" s="351">
        <f>'MODIFICAR CODIGOS '!E66</f>
        <v>6</v>
      </c>
      <c r="D70" s="352">
        <f>'PLANTILLA INV. PISO (0)'!U66</f>
        <v>3.02</v>
      </c>
      <c r="E70" s="132"/>
      <c r="F70" s="339">
        <f t="shared" si="0"/>
        <v>3</v>
      </c>
      <c r="G70" s="340">
        <f t="shared" si="1"/>
        <v>2.0000000000000018</v>
      </c>
      <c r="H70" s="341">
        <f t="shared" si="2"/>
        <v>0.33333333333333365</v>
      </c>
      <c r="I70" s="342">
        <f t="shared" si="3"/>
        <v>3.3333333333333335</v>
      </c>
      <c r="K70" s="333">
        <f>'PLANTILLA INV. PISO (0)'!AA66</f>
        <v>0</v>
      </c>
    </row>
    <row r="71" spans="1:11" ht="15" customHeight="1" x14ac:dyDescent="0.3">
      <c r="A71" s="350" t="str">
        <f>'PLANTILLA INV. PISO (0)'!A67</f>
        <v>*</v>
      </c>
      <c r="B71" s="350">
        <f>'PLANTILLA INV. PISO (0)'!B67</f>
        <v>0</v>
      </c>
      <c r="C71" s="351">
        <f>'MODIFICAR CODIGOS '!E67</f>
        <v>0</v>
      </c>
      <c r="D71" s="352">
        <f>'PLANTILLA INV. PISO (0)'!U67</f>
        <v>0</v>
      </c>
      <c r="E71" s="132"/>
      <c r="F71" s="339">
        <f t="shared" ref="F71:F134" si="4">ROUNDDOWN(D71,0)</f>
        <v>0</v>
      </c>
      <c r="G71" s="340">
        <f t="shared" ref="G71:G134" si="5">+(D71-F71)*100</f>
        <v>0</v>
      </c>
      <c r="H71" s="341" t="e">
        <f t="shared" ref="H71:H134" si="6">G71/C71</f>
        <v>#DIV/0!</v>
      </c>
      <c r="I71" s="342" t="e">
        <f t="shared" ref="I71:I134" si="7">F71+H71</f>
        <v>#DIV/0!</v>
      </c>
      <c r="K71" s="333">
        <f>'PLANTILLA INV. PISO (0)'!AA67</f>
        <v>0</v>
      </c>
    </row>
    <row r="72" spans="1:11" ht="15" customHeight="1" x14ac:dyDescent="0.3">
      <c r="A72" s="350">
        <f>'PLANTILLA INV. PISO (0)'!A68</f>
        <v>0</v>
      </c>
      <c r="B72" s="350">
        <f>'PLANTILLA INV. PISO (0)'!B68</f>
        <v>0</v>
      </c>
      <c r="C72" s="351">
        <f>'MODIFICAR CODIGOS '!E68</f>
        <v>1</v>
      </c>
      <c r="D72" s="352">
        <f>'PLANTILLA INV. PISO (0)'!U68</f>
        <v>0</v>
      </c>
      <c r="E72" s="132"/>
      <c r="F72" s="339">
        <f t="shared" si="4"/>
        <v>0</v>
      </c>
      <c r="G72" s="340">
        <f t="shared" si="5"/>
        <v>0</v>
      </c>
      <c r="H72" s="341">
        <f t="shared" si="6"/>
        <v>0</v>
      </c>
      <c r="I72" s="342">
        <f t="shared" si="7"/>
        <v>0</v>
      </c>
      <c r="K72" s="333">
        <f>'PLANTILLA INV. PISO (0)'!AA68</f>
        <v>0</v>
      </c>
    </row>
    <row r="73" spans="1:11" ht="15" customHeight="1" x14ac:dyDescent="0.3">
      <c r="A73" s="350">
        <f>'PLANTILLA INV. PISO (0)'!A69</f>
        <v>135663</v>
      </c>
      <c r="B73" s="350" t="str">
        <f>'PLANTILLA INV. PISO (0)'!B69</f>
        <v>CC PET 2.5LTNR 8 PK  Nvo</v>
      </c>
      <c r="C73" s="351">
        <f>'MODIFICAR CODIGOS '!E69</f>
        <v>8</v>
      </c>
      <c r="D73" s="352">
        <f>'PLANTILLA INV. PISO (0)'!U69</f>
        <v>0</v>
      </c>
      <c r="E73" s="132"/>
      <c r="F73" s="339">
        <f t="shared" si="4"/>
        <v>0</v>
      </c>
      <c r="G73" s="340">
        <f t="shared" si="5"/>
        <v>0</v>
      </c>
      <c r="H73" s="341">
        <f t="shared" si="6"/>
        <v>0</v>
      </c>
      <c r="I73" s="342">
        <f t="shared" si="7"/>
        <v>0</v>
      </c>
      <c r="K73" s="333">
        <f>'PLANTILLA INV. PISO (0)'!AA69</f>
        <v>0</v>
      </c>
    </row>
    <row r="74" spans="1:11" ht="15" customHeight="1" x14ac:dyDescent="0.3">
      <c r="A74" s="350">
        <f>'PLANTILLA INV. PISO (0)'!A70</f>
        <v>135755</v>
      </c>
      <c r="B74" s="350" t="str">
        <f>'PLANTILLA INV. PISO (0)'!B70</f>
        <v>COCA COLA ZERO 2.5 LTS (8)</v>
      </c>
      <c r="C74" s="351">
        <f>'MODIFICAR CODIGOS '!E70</f>
        <v>8</v>
      </c>
      <c r="D74" s="352">
        <f>'PLANTILLA INV. PISO (0)'!U70</f>
        <v>1.07</v>
      </c>
      <c r="E74" s="132"/>
      <c r="F74" s="339">
        <f t="shared" si="4"/>
        <v>1</v>
      </c>
      <c r="G74" s="340">
        <f t="shared" si="5"/>
        <v>7.0000000000000062</v>
      </c>
      <c r="H74" s="341">
        <f t="shared" si="6"/>
        <v>0.87500000000000078</v>
      </c>
      <c r="I74" s="342">
        <f t="shared" si="7"/>
        <v>1.8750000000000009</v>
      </c>
      <c r="K74" s="333">
        <f>'PLANTILLA INV. PISO (0)'!AA70</f>
        <v>0</v>
      </c>
    </row>
    <row r="75" spans="1:11" ht="15" customHeight="1" x14ac:dyDescent="0.3">
      <c r="A75" s="350">
        <f>'PLANTILLA INV. PISO (0)'!A71</f>
        <v>56820</v>
      </c>
      <c r="B75" s="350" t="str">
        <f>'PLANTILLA INV. PISO (0)'!B71</f>
        <v>QUATRO CHOICE 2.5L PET (8)</v>
      </c>
      <c r="C75" s="351">
        <f>'MODIFICAR CODIGOS '!E71</f>
        <v>8</v>
      </c>
      <c r="D75" s="352">
        <f>'PLANTILLA INV. PISO (0)'!U71</f>
        <v>37.03</v>
      </c>
      <c r="E75" s="132"/>
      <c r="F75" s="339">
        <f t="shared" si="4"/>
        <v>37</v>
      </c>
      <c r="G75" s="340">
        <f t="shared" si="5"/>
        <v>3.0000000000001137</v>
      </c>
      <c r="H75" s="341">
        <f t="shared" si="6"/>
        <v>0.37500000000001421</v>
      </c>
      <c r="I75" s="342">
        <f t="shared" si="7"/>
        <v>37.375000000000014</v>
      </c>
      <c r="K75" s="333">
        <f>'PLANTILLA INV. PISO (0)'!AA71</f>
        <v>0</v>
      </c>
    </row>
    <row r="76" spans="1:11" ht="15" customHeight="1" x14ac:dyDescent="0.3">
      <c r="A76" s="350">
        <f>'PLANTILLA INV. PISO (0)'!A72</f>
        <v>0</v>
      </c>
      <c r="B76" s="350">
        <f>'PLANTILLA INV. PISO (0)'!B72</f>
        <v>0</v>
      </c>
      <c r="C76" s="351">
        <f>'MODIFICAR CODIGOS '!E72</f>
        <v>1</v>
      </c>
      <c r="D76" s="352">
        <f>'PLANTILLA INV. PISO (0)'!U72</f>
        <v>0</v>
      </c>
      <c r="E76" s="132"/>
      <c r="F76" s="339">
        <f t="shared" si="4"/>
        <v>0</v>
      </c>
      <c r="G76" s="340">
        <f t="shared" si="5"/>
        <v>0</v>
      </c>
      <c r="H76" s="341">
        <f t="shared" si="6"/>
        <v>0</v>
      </c>
      <c r="I76" s="342">
        <f t="shared" si="7"/>
        <v>0</v>
      </c>
      <c r="K76" s="333">
        <f>'PLANTILLA INV. PISO (0)'!AA72</f>
        <v>0</v>
      </c>
    </row>
    <row r="77" spans="1:11" ht="15" customHeight="1" x14ac:dyDescent="0.3">
      <c r="A77" s="350">
        <f>'PLANTILLA INV. PISO (0)'!A73</f>
        <v>0</v>
      </c>
      <c r="B77" s="350">
        <f>'PLANTILLA INV. PISO (0)'!B73</f>
        <v>0</v>
      </c>
      <c r="C77" s="351">
        <f>'MODIFICAR CODIGOS '!E73</f>
        <v>1</v>
      </c>
      <c r="D77" s="352">
        <f>'PLANTILLA INV. PISO (0)'!U73</f>
        <v>0</v>
      </c>
      <c r="E77" s="132"/>
      <c r="F77" s="339">
        <f t="shared" si="4"/>
        <v>0</v>
      </c>
      <c r="G77" s="340">
        <f t="shared" si="5"/>
        <v>0</v>
      </c>
      <c r="H77" s="341">
        <f t="shared" si="6"/>
        <v>0</v>
      </c>
      <c r="I77" s="342">
        <f t="shared" si="7"/>
        <v>0</v>
      </c>
      <c r="K77" s="333">
        <f>'PLANTILLA INV. PISO (0)'!AA73</f>
        <v>0</v>
      </c>
    </row>
    <row r="78" spans="1:11" ht="15" customHeight="1" x14ac:dyDescent="0.3">
      <c r="A78" s="350" t="str">
        <f>'PLANTILLA INV. PISO (0)'!A74</f>
        <v>*</v>
      </c>
      <c r="B78" s="350">
        <f>'PLANTILLA INV. PISO (0)'!B74</f>
        <v>0</v>
      </c>
      <c r="C78" s="351">
        <f>'MODIFICAR CODIGOS '!E74</f>
        <v>0</v>
      </c>
      <c r="D78" s="352">
        <f>'PLANTILLA INV. PISO (0)'!U74</f>
        <v>0</v>
      </c>
      <c r="E78" s="132"/>
      <c r="F78" s="339">
        <f t="shared" si="4"/>
        <v>0</v>
      </c>
      <c r="G78" s="340">
        <f t="shared" si="5"/>
        <v>0</v>
      </c>
      <c r="H78" s="341" t="e">
        <f t="shared" si="6"/>
        <v>#DIV/0!</v>
      </c>
      <c r="I78" s="342" t="e">
        <f t="shared" si="7"/>
        <v>#DIV/0!</v>
      </c>
      <c r="K78" s="333">
        <f>'PLANTILLA INV. PISO (0)'!AA74</f>
        <v>0</v>
      </c>
    </row>
    <row r="79" spans="1:11" ht="15" customHeight="1" x14ac:dyDescent="0.3">
      <c r="A79" s="350">
        <f>'PLANTILLA INV. PISO (0)'!A75</f>
        <v>160040</v>
      </c>
      <c r="B79" s="350" t="str">
        <f>'PLANTILLA INV. PISO (0)'!B75</f>
        <v>COCA-COLA 20 OZ PET(15)</v>
      </c>
      <c r="C79" s="351">
        <f>'MODIFICAR CODIGOS '!E75</f>
        <v>15</v>
      </c>
      <c r="D79" s="352">
        <f>'PLANTILLA INV. PISO (0)'!U75</f>
        <v>1</v>
      </c>
      <c r="E79" s="132"/>
      <c r="F79" s="339">
        <f t="shared" si="4"/>
        <v>1</v>
      </c>
      <c r="G79" s="340">
        <f t="shared" si="5"/>
        <v>0</v>
      </c>
      <c r="H79" s="341">
        <f t="shared" si="6"/>
        <v>0</v>
      </c>
      <c r="I79" s="342">
        <f t="shared" si="7"/>
        <v>1</v>
      </c>
      <c r="K79" s="333">
        <f>'PLANTILLA INV. PISO (0)'!AA75</f>
        <v>0</v>
      </c>
    </row>
    <row r="80" spans="1:11" ht="15" customHeight="1" x14ac:dyDescent="0.3">
      <c r="A80" s="350">
        <f>'PLANTILLA INV. PISO (0)'!A76</f>
        <v>135759</v>
      </c>
      <c r="B80" s="350" t="str">
        <f>'PLANTILLA INV. PISO (0)'!B76</f>
        <v>COCA-COLA ZERO 20 OZ PET(15)</v>
      </c>
      <c r="C80" s="351">
        <f>'MODIFICAR CODIGOS '!E76</f>
        <v>15</v>
      </c>
      <c r="D80" s="352">
        <f>'PLANTILLA INV. PISO (0)'!U76</f>
        <v>21</v>
      </c>
      <c r="E80" s="132"/>
      <c r="F80" s="339">
        <f t="shared" si="4"/>
        <v>21</v>
      </c>
      <c r="G80" s="340">
        <f t="shared" si="5"/>
        <v>0</v>
      </c>
      <c r="H80" s="341">
        <f t="shared" si="6"/>
        <v>0</v>
      </c>
      <c r="I80" s="342">
        <f t="shared" si="7"/>
        <v>21</v>
      </c>
      <c r="K80" s="333">
        <f>'PLANTILLA INV. PISO (0)'!AA76</f>
        <v>0</v>
      </c>
    </row>
    <row r="81" spans="1:11" ht="15" customHeight="1" x14ac:dyDescent="0.3">
      <c r="A81" s="350">
        <f>'PLANTILLA INV. PISO (0)'!A77</f>
        <v>0</v>
      </c>
      <c r="B81" s="350">
        <f>'PLANTILLA INV. PISO (0)'!B77</f>
        <v>0</v>
      </c>
      <c r="C81" s="351">
        <f>'MODIFICAR CODIGOS '!E77</f>
        <v>1</v>
      </c>
      <c r="D81" s="352">
        <f>'PLANTILLA INV. PISO (0)'!U77</f>
        <v>0</v>
      </c>
      <c r="E81" s="132"/>
      <c r="F81" s="339">
        <f t="shared" si="4"/>
        <v>0</v>
      </c>
      <c r="G81" s="340">
        <f t="shared" si="5"/>
        <v>0</v>
      </c>
      <c r="H81" s="341">
        <f t="shared" si="6"/>
        <v>0</v>
      </c>
      <c r="I81" s="342">
        <f t="shared" si="7"/>
        <v>0</v>
      </c>
      <c r="K81" s="333">
        <f>'PLANTILLA INV. PISO (0)'!AA78</f>
        <v>0</v>
      </c>
    </row>
    <row r="82" spans="1:11" ht="15" customHeight="1" x14ac:dyDescent="0.3">
      <c r="A82" s="350">
        <f>'PLANTILLA INV. PISO (0)'!A78</f>
        <v>0</v>
      </c>
      <c r="B82" s="350">
        <f>'PLANTILLA INV. PISO (0)'!B78</f>
        <v>0</v>
      </c>
      <c r="C82" s="351">
        <f>'MODIFICAR CODIGOS '!E78</f>
        <v>1</v>
      </c>
      <c r="D82" s="352">
        <f>'PLANTILLA INV. PISO (0)'!U78</f>
        <v>0</v>
      </c>
      <c r="E82" s="132"/>
      <c r="F82" s="339">
        <f t="shared" si="4"/>
        <v>0</v>
      </c>
      <c r="G82" s="340">
        <f t="shared" si="5"/>
        <v>0</v>
      </c>
      <c r="H82" s="341">
        <f t="shared" si="6"/>
        <v>0</v>
      </c>
      <c r="I82" s="342">
        <f t="shared" si="7"/>
        <v>0</v>
      </c>
      <c r="K82" s="333">
        <f>'PLANTILLA INV. PISO (0)'!AA79</f>
        <v>0</v>
      </c>
    </row>
    <row r="83" spans="1:11" ht="15" customHeight="1" x14ac:dyDescent="0.3">
      <c r="A83" s="350" t="str">
        <f>'PLANTILLA INV. PISO (0)'!A79</f>
        <v>*</v>
      </c>
      <c r="B83" s="350">
        <f>'PLANTILLA INV. PISO (0)'!B79</f>
        <v>0</v>
      </c>
      <c r="C83" s="351">
        <f>'MODIFICAR CODIGOS '!E79</f>
        <v>0</v>
      </c>
      <c r="D83" s="352">
        <f>'PLANTILLA INV. PISO (0)'!U79</f>
        <v>0</v>
      </c>
      <c r="E83" s="132"/>
      <c r="F83" s="339">
        <f t="shared" si="4"/>
        <v>0</v>
      </c>
      <c r="G83" s="340">
        <f t="shared" si="5"/>
        <v>0</v>
      </c>
      <c r="H83" s="341" t="e">
        <f t="shared" si="6"/>
        <v>#DIV/0!</v>
      </c>
      <c r="I83" s="342" t="e">
        <f t="shared" si="7"/>
        <v>#DIV/0!</v>
      </c>
      <c r="K83" s="333">
        <f>'PLANTILLA INV. PISO (0)'!AA80</f>
        <v>0</v>
      </c>
    </row>
    <row r="84" spans="1:11" ht="15" customHeight="1" x14ac:dyDescent="0.3">
      <c r="A84" s="350">
        <f>'PLANTILLA INV. PISO (0)'!A80</f>
        <v>135760</v>
      </c>
      <c r="B84" s="350" t="str">
        <f>'PLANTILLA INV. PISO (0)'!B80</f>
        <v>COCA COLA SA 400ML</v>
      </c>
      <c r="C84" s="351">
        <f>'MODIFICAR CODIGOS '!E80</f>
        <v>12</v>
      </c>
      <c r="D84" s="352">
        <f>'PLANTILLA INV. PISO (0)'!U80</f>
        <v>302.10000000000002</v>
      </c>
      <c r="E84" s="132"/>
      <c r="F84" s="339">
        <f t="shared" si="4"/>
        <v>302</v>
      </c>
      <c r="G84" s="340">
        <f t="shared" si="5"/>
        <v>10.000000000002274</v>
      </c>
      <c r="H84" s="341">
        <f t="shared" si="6"/>
        <v>0.83333333333352277</v>
      </c>
      <c r="I84" s="342">
        <f t="shared" si="7"/>
        <v>302.83333333333354</v>
      </c>
      <c r="K84" s="333">
        <f>'PLANTILLA INV. PISO (0)'!AA81</f>
        <v>0</v>
      </c>
    </row>
    <row r="85" spans="1:11" ht="15" customHeight="1" x14ac:dyDescent="0.3">
      <c r="A85" s="350">
        <f>'PLANTILLA INV. PISO (0)'!A81</f>
        <v>160318</v>
      </c>
      <c r="B85" s="350" t="str">
        <f>'PLANTILLA INV. PISO (0)'!B81</f>
        <v>COCA-COLA 400ml PET(12)</v>
      </c>
      <c r="C85" s="351">
        <f>'MODIFICAR CODIGOS '!E81</f>
        <v>12</v>
      </c>
      <c r="D85" s="352">
        <f>'PLANTILLA INV. PISO (0)'!U81</f>
        <v>3111.11</v>
      </c>
      <c r="E85" s="132"/>
      <c r="F85" s="339">
        <f t="shared" si="4"/>
        <v>3111</v>
      </c>
      <c r="G85" s="340">
        <f t="shared" si="5"/>
        <v>11.000000000012733</v>
      </c>
      <c r="H85" s="341">
        <f t="shared" si="6"/>
        <v>0.91666666666772778</v>
      </c>
      <c r="I85" s="342">
        <f t="shared" si="7"/>
        <v>3111.9166666666679</v>
      </c>
      <c r="K85" s="333">
        <f>'PLANTILLA INV. PISO (0)'!AA82</f>
        <v>0</v>
      </c>
    </row>
    <row r="86" spans="1:11" ht="15" customHeight="1" x14ac:dyDescent="0.3">
      <c r="A86" s="350" t="str">
        <f>'PLANTILLA INV. PISO (0)'!A82</f>
        <v>*</v>
      </c>
      <c r="B86" s="350">
        <f>'PLANTILLA INV. PISO (0)'!B82</f>
        <v>0</v>
      </c>
      <c r="C86" s="351">
        <f>'MODIFICAR CODIGOS '!E82</f>
        <v>0</v>
      </c>
      <c r="D86" s="352">
        <f>'PLANTILLA INV. PISO (0)'!U82</f>
        <v>0</v>
      </c>
      <c r="E86" s="132"/>
      <c r="F86" s="339">
        <f t="shared" si="4"/>
        <v>0</v>
      </c>
      <c r="G86" s="340">
        <f t="shared" si="5"/>
        <v>0</v>
      </c>
      <c r="H86" s="341" t="e">
        <f t="shared" si="6"/>
        <v>#DIV/0!</v>
      </c>
      <c r="I86" s="342" t="e">
        <f t="shared" si="7"/>
        <v>#DIV/0!</v>
      </c>
      <c r="K86" s="333">
        <f>'PLANTILLA INV. PISO (0)'!AA83</f>
        <v>0</v>
      </c>
    </row>
    <row r="87" spans="1:11" ht="15" customHeight="1" x14ac:dyDescent="0.3">
      <c r="A87" s="350">
        <f>'PLANTILLA INV. PISO (0)'!A83</f>
        <v>56452</v>
      </c>
      <c r="B87" s="350" t="str">
        <f>'PLANTILLA INV. PISO (0)'!B83</f>
        <v>SCHWEPPES SODA 400ML PET (12)</v>
      </c>
      <c r="C87" s="351">
        <f>'MODIFICAR CODIGOS '!E83</f>
        <v>12</v>
      </c>
      <c r="D87" s="352">
        <f>'PLANTILLA INV. PISO (0)'!U83</f>
        <v>43.07</v>
      </c>
      <c r="E87" s="132"/>
      <c r="F87" s="339">
        <f t="shared" si="4"/>
        <v>43</v>
      </c>
      <c r="G87" s="340">
        <f t="shared" si="5"/>
        <v>7.0000000000000284</v>
      </c>
      <c r="H87" s="341">
        <f t="shared" si="6"/>
        <v>0.5833333333333357</v>
      </c>
      <c r="I87" s="342">
        <f t="shared" si="7"/>
        <v>43.583333333333336</v>
      </c>
      <c r="K87" s="333">
        <f>'PLANTILLA INV. PISO (0)'!AA84</f>
        <v>0</v>
      </c>
    </row>
    <row r="88" spans="1:11" ht="15" customHeight="1" x14ac:dyDescent="0.3">
      <c r="A88" s="350">
        <f>'PLANTILLA INV. PISO (0)'!A84</f>
        <v>56453</v>
      </c>
      <c r="B88" s="350" t="str">
        <f>'PLANTILLA INV. PISO (0)'!B84</f>
        <v>SCHWEPPES GINGER 400ML PET (12)</v>
      </c>
      <c r="C88" s="351">
        <f>'MODIFICAR CODIGOS '!E84</f>
        <v>12</v>
      </c>
      <c r="D88" s="352">
        <f>'PLANTILLA INV. PISO (0)'!U84</f>
        <v>0</v>
      </c>
      <c r="E88" s="132"/>
      <c r="F88" s="339">
        <f t="shared" si="4"/>
        <v>0</v>
      </c>
      <c r="G88" s="340">
        <f t="shared" si="5"/>
        <v>0</v>
      </c>
      <c r="H88" s="341">
        <f t="shared" si="6"/>
        <v>0</v>
      </c>
      <c r="I88" s="342">
        <f t="shared" si="7"/>
        <v>0</v>
      </c>
      <c r="K88" s="333">
        <f>'PLANTILLA INV. PISO (0)'!AA85</f>
        <v>0</v>
      </c>
    </row>
    <row r="89" spans="1:11" ht="15" customHeight="1" x14ac:dyDescent="0.3">
      <c r="A89" s="350">
        <f>'PLANTILLA INV. PISO (0)'!A85</f>
        <v>160479</v>
      </c>
      <c r="B89" s="350" t="str">
        <f>'PLANTILLA INV. PISO (0)'!B85</f>
        <v>KOLA ROMAN 400 ML NR (12)</v>
      </c>
      <c r="C89" s="351">
        <f>'MODIFICAR CODIGOS '!E85</f>
        <v>12</v>
      </c>
      <c r="D89" s="352">
        <f>'PLANTILLA INV. PISO (0)'!U85</f>
        <v>8.08</v>
      </c>
      <c r="E89" s="132"/>
      <c r="F89" s="339">
        <f t="shared" si="4"/>
        <v>8</v>
      </c>
      <c r="G89" s="340">
        <f t="shared" si="5"/>
        <v>8.0000000000000071</v>
      </c>
      <c r="H89" s="341">
        <f t="shared" si="6"/>
        <v>0.6666666666666673</v>
      </c>
      <c r="I89" s="342">
        <f t="shared" si="7"/>
        <v>8.6666666666666679</v>
      </c>
      <c r="K89" s="333">
        <f>'PLANTILLA INV. PISO (0)'!AA86</f>
        <v>0</v>
      </c>
    </row>
    <row r="90" spans="1:11" ht="15" customHeight="1" x14ac:dyDescent="0.3">
      <c r="A90" s="350">
        <f>'PLANTILLA INV. PISO (0)'!A86</f>
        <v>0</v>
      </c>
      <c r="B90" s="350">
        <f>'PLANTILLA INV. PISO (0)'!B86</f>
        <v>0</v>
      </c>
      <c r="C90" s="351">
        <f>'MODIFICAR CODIGOS '!E86</f>
        <v>0</v>
      </c>
      <c r="D90" s="352" t="e">
        <f>'PLANTILLA INV. PISO (0)'!U86</f>
        <v>#DIV/0!</v>
      </c>
      <c r="E90" s="132"/>
      <c r="F90" s="339" t="e">
        <f t="shared" si="4"/>
        <v>#DIV/0!</v>
      </c>
      <c r="G90" s="340" t="e">
        <f t="shared" si="5"/>
        <v>#DIV/0!</v>
      </c>
      <c r="H90" s="341" t="e">
        <f t="shared" si="6"/>
        <v>#DIV/0!</v>
      </c>
      <c r="I90" s="342" t="e">
        <f t="shared" si="7"/>
        <v>#DIV/0!</v>
      </c>
      <c r="K90" s="333">
        <f>'PLANTILLA INV. PISO (0)'!AA87</f>
        <v>0</v>
      </c>
    </row>
    <row r="91" spans="1:11" ht="15" customHeight="1" x14ac:dyDescent="0.3">
      <c r="A91" s="350">
        <f>'PLANTILLA INV. PISO (0)'!A87</f>
        <v>56627</v>
      </c>
      <c r="B91" s="350" t="str">
        <f>'PLANTILLA INV. PISO (0)'!B87</f>
        <v xml:space="preserve">PREMIO 400PET </v>
      </c>
      <c r="C91" s="351">
        <f>'MODIFICAR CODIGOS '!E87</f>
        <v>12</v>
      </c>
      <c r="D91" s="352">
        <f>'PLANTILLA INV. PISO (0)'!U87</f>
        <v>123.06</v>
      </c>
      <c r="E91" s="132"/>
      <c r="F91" s="339">
        <f t="shared" si="4"/>
        <v>123</v>
      </c>
      <c r="G91" s="340">
        <f t="shared" si="5"/>
        <v>6.0000000000002274</v>
      </c>
      <c r="H91" s="341">
        <f t="shared" si="6"/>
        <v>0.50000000000001898</v>
      </c>
      <c r="I91" s="342">
        <f t="shared" si="7"/>
        <v>123.50000000000001</v>
      </c>
      <c r="K91" s="333">
        <f>'PLANTILLA INV. PISO (0)'!AA88</f>
        <v>0</v>
      </c>
    </row>
    <row r="92" spans="1:11" ht="15" customHeight="1" x14ac:dyDescent="0.3">
      <c r="A92" s="350">
        <f>'PLANTILLA INV. PISO (0)'!A88</f>
        <v>160297</v>
      </c>
      <c r="B92" s="350" t="str">
        <f>'PLANTILLA INV. PISO (0)'!B88</f>
        <v>SPRITE 400PET</v>
      </c>
      <c r="C92" s="351">
        <f>'MODIFICAR CODIGOS '!E88</f>
        <v>12</v>
      </c>
      <c r="D92" s="352">
        <f>'PLANTILLA INV. PISO (0)'!U88</f>
        <v>187.11</v>
      </c>
      <c r="E92" s="132"/>
      <c r="F92" s="339">
        <f t="shared" si="4"/>
        <v>187</v>
      </c>
      <c r="G92" s="340">
        <f t="shared" si="5"/>
        <v>11.000000000001364</v>
      </c>
      <c r="H92" s="341">
        <f t="shared" si="6"/>
        <v>0.91666666666678032</v>
      </c>
      <c r="I92" s="342">
        <f t="shared" si="7"/>
        <v>187.91666666666677</v>
      </c>
      <c r="K92" s="333">
        <f>'PLANTILLA INV. PISO (0)'!AA89</f>
        <v>0</v>
      </c>
    </row>
    <row r="93" spans="1:11" ht="15" customHeight="1" x14ac:dyDescent="0.3">
      <c r="A93" s="350">
        <f>'PLANTILLA INV. PISO (0)'!A89</f>
        <v>0</v>
      </c>
      <c r="B93" s="350">
        <f>'PLANTILLA INV. PISO (0)'!B89</f>
        <v>0</v>
      </c>
      <c r="C93" s="351">
        <f>'MODIFICAR CODIGOS '!E89</f>
        <v>0</v>
      </c>
      <c r="D93" s="352" t="e">
        <f>'PLANTILLA INV. PISO (0)'!U89</f>
        <v>#DIV/0!</v>
      </c>
      <c r="E93" s="132"/>
      <c r="F93" s="339" t="e">
        <f t="shared" si="4"/>
        <v>#DIV/0!</v>
      </c>
      <c r="G93" s="340" t="e">
        <f t="shared" si="5"/>
        <v>#DIV/0!</v>
      </c>
      <c r="H93" s="341" t="e">
        <f t="shared" si="6"/>
        <v>#DIV/0!</v>
      </c>
      <c r="I93" s="342" t="e">
        <f t="shared" si="7"/>
        <v>#DIV/0!</v>
      </c>
      <c r="K93" s="333">
        <f>'PLANTILLA INV. PISO (0)'!AA90</f>
        <v>0</v>
      </c>
    </row>
    <row r="94" spans="1:11" ht="15" customHeight="1" x14ac:dyDescent="0.3">
      <c r="A94" s="350">
        <f>'PLANTILLA INV. PISO (0)'!A90</f>
        <v>56706</v>
      </c>
      <c r="B94" s="350" t="str">
        <f>'PLANTILLA INV. PISO (0)'!B90</f>
        <v xml:space="preserve">QUATRO 400PET </v>
      </c>
      <c r="C94" s="351">
        <f>'MODIFICAR CODIGOS '!E90</f>
        <v>12</v>
      </c>
      <c r="D94" s="352">
        <f>'PLANTILLA INV. PISO (0)'!U90</f>
        <v>79.03</v>
      </c>
      <c r="E94" s="132"/>
      <c r="F94" s="339">
        <f t="shared" si="4"/>
        <v>79</v>
      </c>
      <c r="G94" s="340">
        <f t="shared" si="5"/>
        <v>3.0000000000001137</v>
      </c>
      <c r="H94" s="341">
        <f t="shared" si="6"/>
        <v>0.25000000000000949</v>
      </c>
      <c r="I94" s="342">
        <f t="shared" si="7"/>
        <v>79.250000000000014</v>
      </c>
      <c r="K94" s="333">
        <f>'PLANTILLA INV. PISO (0)'!AA91</f>
        <v>0</v>
      </c>
    </row>
    <row r="95" spans="1:11" ht="15" customHeight="1" x14ac:dyDescent="0.3">
      <c r="A95" s="350">
        <f>'PLANTILLA INV. PISO (0)'!A91</f>
        <v>0</v>
      </c>
      <c r="B95" s="350">
        <f>'PLANTILLA INV. PISO (0)'!B91</f>
        <v>0</v>
      </c>
      <c r="C95" s="351">
        <f>'MODIFICAR CODIGOS '!E91</f>
        <v>1</v>
      </c>
      <c r="D95" s="352">
        <f>'PLANTILLA INV. PISO (0)'!U91</f>
        <v>0</v>
      </c>
      <c r="E95" s="132"/>
      <c r="F95" s="339">
        <f t="shared" si="4"/>
        <v>0</v>
      </c>
      <c r="G95" s="340">
        <f t="shared" si="5"/>
        <v>0</v>
      </c>
      <c r="H95" s="341">
        <f t="shared" si="6"/>
        <v>0</v>
      </c>
      <c r="I95" s="342">
        <f t="shared" si="7"/>
        <v>0</v>
      </c>
      <c r="K95" s="333">
        <f>'PLANTILLA INV. PISO (0)'!AA92</f>
        <v>0</v>
      </c>
    </row>
    <row r="96" spans="1:11" ht="15" customHeight="1" x14ac:dyDescent="0.3">
      <c r="A96" s="350">
        <f>'PLANTILLA INV. PISO (0)'!A92</f>
        <v>0</v>
      </c>
      <c r="B96" s="350">
        <f>'PLANTILLA INV. PISO (0)'!B92</f>
        <v>0</v>
      </c>
      <c r="C96" s="351">
        <f>'MODIFICAR CODIGOS '!E92</f>
        <v>1</v>
      </c>
      <c r="D96" s="352">
        <f>'PLANTILLA INV. PISO (0)'!U92</f>
        <v>0</v>
      </c>
      <c r="E96" s="132"/>
      <c r="F96" s="339">
        <f t="shared" si="4"/>
        <v>0</v>
      </c>
      <c r="G96" s="340">
        <f t="shared" si="5"/>
        <v>0</v>
      </c>
      <c r="H96" s="341">
        <f t="shared" si="6"/>
        <v>0</v>
      </c>
      <c r="I96" s="342">
        <f t="shared" si="7"/>
        <v>0</v>
      </c>
      <c r="K96" s="333">
        <f>'PLANTILLA INV. PISO (0)'!AA93</f>
        <v>0</v>
      </c>
    </row>
    <row r="97" spans="1:11" ht="15" customHeight="1" x14ac:dyDescent="0.3">
      <c r="A97" s="350">
        <f>'PLANTILLA INV. PISO (0)'!A93</f>
        <v>0</v>
      </c>
      <c r="B97" s="350">
        <f>'PLANTILLA INV. PISO (0)'!B93</f>
        <v>0</v>
      </c>
      <c r="C97" s="351">
        <f>'MODIFICAR CODIGOS '!E93</f>
        <v>1</v>
      </c>
      <c r="D97" s="352">
        <f>'PLANTILLA INV. PISO (0)'!U93</f>
        <v>0</v>
      </c>
      <c r="E97" s="132"/>
      <c r="F97" s="339">
        <f t="shared" si="4"/>
        <v>0</v>
      </c>
      <c r="G97" s="340">
        <f t="shared" si="5"/>
        <v>0</v>
      </c>
      <c r="H97" s="341">
        <f t="shared" si="6"/>
        <v>0</v>
      </c>
      <c r="I97" s="342">
        <f t="shared" si="7"/>
        <v>0</v>
      </c>
      <c r="K97" s="333">
        <f>'PLANTILLA INV. PISO (0)'!AA94</f>
        <v>0</v>
      </c>
    </row>
    <row r="98" spans="1:11" ht="15" customHeight="1" x14ac:dyDescent="0.3">
      <c r="A98" s="350">
        <f>'PLANTILLA INV. PISO (0)'!A94</f>
        <v>0</v>
      </c>
      <c r="B98" s="350">
        <f>'PLANTILLA INV. PISO (0)'!B94</f>
        <v>0</v>
      </c>
      <c r="C98" s="351">
        <f>'MODIFICAR CODIGOS '!E94</f>
        <v>1</v>
      </c>
      <c r="D98" s="352">
        <f>'PLANTILLA INV. PISO (0)'!U94</f>
        <v>0</v>
      </c>
      <c r="E98" s="132"/>
      <c r="F98" s="339">
        <f t="shared" si="4"/>
        <v>0</v>
      </c>
      <c r="G98" s="340">
        <f t="shared" si="5"/>
        <v>0</v>
      </c>
      <c r="H98" s="341">
        <f t="shared" si="6"/>
        <v>0</v>
      </c>
      <c r="I98" s="342">
        <f t="shared" si="7"/>
        <v>0</v>
      </c>
      <c r="K98" s="333">
        <f>'PLANTILLA INV. PISO (0)'!AA95</f>
        <v>0</v>
      </c>
    </row>
    <row r="99" spans="1:11" ht="15" customHeight="1" x14ac:dyDescent="0.3">
      <c r="A99" s="350">
        <f>'PLANTILLA INV. PISO (0)'!A95</f>
        <v>0</v>
      </c>
      <c r="B99" s="350">
        <f>'PLANTILLA INV. PISO (0)'!B95</f>
        <v>0</v>
      </c>
      <c r="C99" s="351">
        <f>'MODIFICAR CODIGOS '!E95</f>
        <v>1</v>
      </c>
      <c r="D99" s="352">
        <f>'PLANTILLA INV. PISO (0)'!U95</f>
        <v>0</v>
      </c>
      <c r="E99" s="132"/>
      <c r="F99" s="339">
        <f t="shared" si="4"/>
        <v>0</v>
      </c>
      <c r="G99" s="340">
        <f t="shared" si="5"/>
        <v>0</v>
      </c>
      <c r="H99" s="341">
        <f t="shared" si="6"/>
        <v>0</v>
      </c>
      <c r="I99" s="342">
        <f t="shared" si="7"/>
        <v>0</v>
      </c>
      <c r="K99" s="333">
        <f>'PLANTILLA INV. PISO (0)'!AA96</f>
        <v>0</v>
      </c>
    </row>
    <row r="100" spans="1:11" ht="15" customHeight="1" x14ac:dyDescent="0.3">
      <c r="A100" s="350" t="str">
        <f>'PLANTILLA INV. PISO (0)'!A96</f>
        <v>*</v>
      </c>
      <c r="B100" s="350">
        <f>'PLANTILLA INV. PISO (0)'!B96</f>
        <v>0</v>
      </c>
      <c r="C100" s="351">
        <f>'MODIFICAR CODIGOS '!E96</f>
        <v>0</v>
      </c>
      <c r="D100" s="352">
        <f>'PLANTILLA INV. PISO (0)'!U96</f>
        <v>0</v>
      </c>
      <c r="E100" s="132"/>
      <c r="F100" s="339">
        <f t="shared" si="4"/>
        <v>0</v>
      </c>
      <c r="G100" s="340">
        <f t="shared" si="5"/>
        <v>0</v>
      </c>
      <c r="H100" s="341" t="e">
        <f t="shared" si="6"/>
        <v>#DIV/0!</v>
      </c>
      <c r="I100" s="342" t="e">
        <f t="shared" si="7"/>
        <v>#DIV/0!</v>
      </c>
      <c r="K100" s="333">
        <f>'PLANTILLA INV. PISO (0)'!AA97</f>
        <v>0</v>
      </c>
    </row>
    <row r="101" spans="1:11" ht="15" customHeight="1" x14ac:dyDescent="0.3">
      <c r="A101" s="350">
        <f>'PLANTILLA INV. PISO (0)'!A97</f>
        <v>0</v>
      </c>
      <c r="B101" s="350">
        <f>'PLANTILLA INV. PISO (0)'!B97</f>
        <v>0</v>
      </c>
      <c r="C101" s="351">
        <f>'MODIFICAR CODIGOS '!E97</f>
        <v>1</v>
      </c>
      <c r="D101" s="352">
        <f>'PLANTILLA INV. PISO (0)'!U97</f>
        <v>0</v>
      </c>
      <c r="E101" s="132"/>
      <c r="F101" s="339">
        <f t="shared" si="4"/>
        <v>0</v>
      </c>
      <c r="G101" s="340">
        <f t="shared" si="5"/>
        <v>0</v>
      </c>
      <c r="H101" s="341">
        <f t="shared" si="6"/>
        <v>0</v>
      </c>
      <c r="I101" s="342">
        <f t="shared" si="7"/>
        <v>0</v>
      </c>
      <c r="K101" s="333">
        <f>'PLANTILLA INV. PISO (0)'!AA98</f>
        <v>0</v>
      </c>
    </row>
    <row r="102" spans="1:11" ht="15" customHeight="1" x14ac:dyDescent="0.3">
      <c r="A102" s="350">
        <f>'PLANTILLA INV. PISO (0)'!A98</f>
        <v>0</v>
      </c>
      <c r="B102" s="350">
        <f>'PLANTILLA INV. PISO (0)'!B98</f>
        <v>0</v>
      </c>
      <c r="C102" s="351">
        <f>'MODIFICAR CODIGOS '!E98</f>
        <v>1</v>
      </c>
      <c r="D102" s="352">
        <f>'PLANTILLA INV. PISO (0)'!U98</f>
        <v>0</v>
      </c>
      <c r="E102" s="132"/>
      <c r="F102" s="339">
        <f t="shared" si="4"/>
        <v>0</v>
      </c>
      <c r="G102" s="340">
        <f t="shared" si="5"/>
        <v>0</v>
      </c>
      <c r="H102" s="341">
        <f t="shared" si="6"/>
        <v>0</v>
      </c>
      <c r="I102" s="342">
        <f>F102+H102</f>
        <v>0</v>
      </c>
      <c r="K102" s="333">
        <f>'PLANTILLA INV. PISO (0)'!AA99</f>
        <v>0</v>
      </c>
    </row>
    <row r="103" spans="1:11" ht="15" customHeight="1" x14ac:dyDescent="0.3">
      <c r="A103" s="350">
        <f>'PLANTILLA INV. PISO (0)'!A99</f>
        <v>0</v>
      </c>
      <c r="B103" s="350">
        <f>'PLANTILLA INV. PISO (0)'!B99</f>
        <v>0</v>
      </c>
      <c r="C103" s="351">
        <f>'MODIFICAR CODIGOS '!E99</f>
        <v>1</v>
      </c>
      <c r="D103" s="352">
        <f>'PLANTILLA INV. PISO (0)'!U99</f>
        <v>0</v>
      </c>
      <c r="E103" s="134"/>
      <c r="F103" s="339">
        <f t="shared" si="4"/>
        <v>0</v>
      </c>
      <c r="G103" s="340">
        <f t="shared" si="5"/>
        <v>0</v>
      </c>
      <c r="H103" s="341">
        <f t="shared" si="6"/>
        <v>0</v>
      </c>
      <c r="I103" s="342">
        <f t="shared" si="7"/>
        <v>0</v>
      </c>
      <c r="K103" s="333">
        <f>'PLANTILLA INV. PISO (0)'!AA100</f>
        <v>0</v>
      </c>
    </row>
    <row r="104" spans="1:11" ht="15" customHeight="1" x14ac:dyDescent="0.3">
      <c r="A104" s="350">
        <f>'PLANTILLA INV. PISO (0)'!A100</f>
        <v>0</v>
      </c>
      <c r="B104" s="350">
        <f>'PLANTILLA INV. PISO (0)'!B100</f>
        <v>0</v>
      </c>
      <c r="C104" s="351">
        <f>'MODIFICAR CODIGOS '!E100</f>
        <v>1</v>
      </c>
      <c r="D104" s="352">
        <f>'PLANTILLA INV. PISO (0)'!U100</f>
        <v>0</v>
      </c>
      <c r="E104" s="134"/>
      <c r="F104" s="339">
        <f t="shared" si="4"/>
        <v>0</v>
      </c>
      <c r="G104" s="340">
        <f t="shared" si="5"/>
        <v>0</v>
      </c>
      <c r="H104" s="341">
        <f t="shared" si="6"/>
        <v>0</v>
      </c>
      <c r="I104" s="342">
        <f t="shared" si="7"/>
        <v>0</v>
      </c>
      <c r="K104" s="333">
        <f>'PLANTILLA INV. PISO (0)'!AA101</f>
        <v>0</v>
      </c>
    </row>
    <row r="105" spans="1:11" ht="15" customHeight="1" x14ac:dyDescent="0.3">
      <c r="A105" s="350">
        <f>'PLANTILLA INV. PISO (0)'!A101</f>
        <v>0</v>
      </c>
      <c r="B105" s="350">
        <f>'PLANTILLA INV. PISO (0)'!B101</f>
        <v>0</v>
      </c>
      <c r="C105" s="351">
        <f>'MODIFICAR CODIGOS '!E101</f>
        <v>1</v>
      </c>
      <c r="D105" s="352">
        <f>'PLANTILLA INV. PISO (0)'!U101</f>
        <v>0</v>
      </c>
      <c r="E105" s="134"/>
      <c r="F105" s="339">
        <f t="shared" si="4"/>
        <v>0</v>
      </c>
      <c r="G105" s="340">
        <f t="shared" si="5"/>
        <v>0</v>
      </c>
      <c r="H105" s="341">
        <f t="shared" si="6"/>
        <v>0</v>
      </c>
      <c r="I105" s="342">
        <f t="shared" si="7"/>
        <v>0</v>
      </c>
      <c r="K105" s="333">
        <f>'PLANTILLA INV. PISO (0)'!AA102</f>
        <v>0</v>
      </c>
    </row>
    <row r="106" spans="1:11" ht="15" customHeight="1" x14ac:dyDescent="0.3">
      <c r="A106" s="350">
        <f>'PLANTILLA INV. PISO (0)'!A102</f>
        <v>0</v>
      </c>
      <c r="B106" s="350">
        <f>'PLANTILLA INV. PISO (0)'!B102</f>
        <v>0</v>
      </c>
      <c r="C106" s="351">
        <f>'MODIFICAR CODIGOS '!E102</f>
        <v>1</v>
      </c>
      <c r="D106" s="352">
        <f>'PLANTILLA INV. PISO (0)'!U102</f>
        <v>0</v>
      </c>
      <c r="E106" s="134"/>
      <c r="F106" s="339">
        <f t="shared" si="4"/>
        <v>0</v>
      </c>
      <c r="G106" s="340">
        <f t="shared" si="5"/>
        <v>0</v>
      </c>
      <c r="H106" s="341">
        <f t="shared" si="6"/>
        <v>0</v>
      </c>
      <c r="I106" s="342">
        <f t="shared" si="7"/>
        <v>0</v>
      </c>
      <c r="K106" s="333">
        <f>'PLANTILLA INV. PISO (0)'!AA103</f>
        <v>0</v>
      </c>
    </row>
    <row r="107" spans="1:11" ht="15" customHeight="1" x14ac:dyDescent="0.3">
      <c r="A107" s="350">
        <f>'PLANTILLA INV. PISO (0)'!A103</f>
        <v>0</v>
      </c>
      <c r="B107" s="350">
        <f>'PLANTILLA INV. PISO (0)'!B103</f>
        <v>0</v>
      </c>
      <c r="C107" s="351">
        <f>'MODIFICAR CODIGOS '!E103</f>
        <v>1</v>
      </c>
      <c r="D107" s="352">
        <f>'PLANTILLA INV. PISO (0)'!U103</f>
        <v>0</v>
      </c>
      <c r="E107" s="132"/>
      <c r="F107" s="339">
        <f t="shared" si="4"/>
        <v>0</v>
      </c>
      <c r="G107" s="340">
        <f t="shared" si="5"/>
        <v>0</v>
      </c>
      <c r="H107" s="341">
        <f t="shared" si="6"/>
        <v>0</v>
      </c>
      <c r="I107" s="342">
        <f t="shared" si="7"/>
        <v>0</v>
      </c>
      <c r="K107" s="333">
        <f>'PLANTILLA INV. PISO (0)'!AA104</f>
        <v>0</v>
      </c>
    </row>
    <row r="108" spans="1:11" ht="15" customHeight="1" x14ac:dyDescent="0.3">
      <c r="A108" s="350">
        <f>'PLANTILLA INV. PISO (0)'!A104</f>
        <v>0</v>
      </c>
      <c r="B108" s="350">
        <f>'PLANTILLA INV. PISO (0)'!B104</f>
        <v>0</v>
      </c>
      <c r="C108" s="351">
        <f>'MODIFICAR CODIGOS '!E104</f>
        <v>1</v>
      </c>
      <c r="D108" s="352">
        <f>'PLANTILLA INV. PISO (0)'!U104</f>
        <v>0</v>
      </c>
      <c r="E108" s="132"/>
      <c r="F108" s="339">
        <f t="shared" si="4"/>
        <v>0</v>
      </c>
      <c r="G108" s="340">
        <f t="shared" si="5"/>
        <v>0</v>
      </c>
      <c r="H108" s="341">
        <f t="shared" si="6"/>
        <v>0</v>
      </c>
      <c r="I108" s="342">
        <f t="shared" si="7"/>
        <v>0</v>
      </c>
      <c r="K108" s="333">
        <f>'PLANTILLA INV. PISO (0)'!AA105</f>
        <v>0</v>
      </c>
    </row>
    <row r="109" spans="1:11" ht="15" customHeight="1" x14ac:dyDescent="0.3">
      <c r="A109" s="350">
        <f>'PLANTILLA INV. PISO (0)'!A105</f>
        <v>0</v>
      </c>
      <c r="B109" s="350">
        <f>'PLANTILLA INV. PISO (0)'!B105</f>
        <v>0</v>
      </c>
      <c r="C109" s="351">
        <f>'MODIFICAR CODIGOS '!E105</f>
        <v>1</v>
      </c>
      <c r="D109" s="352">
        <f>'PLANTILLA INV. PISO (0)'!U105</f>
        <v>0</v>
      </c>
      <c r="E109" s="132"/>
      <c r="F109" s="339">
        <f t="shared" si="4"/>
        <v>0</v>
      </c>
      <c r="G109" s="340">
        <f t="shared" si="5"/>
        <v>0</v>
      </c>
      <c r="H109" s="341">
        <f t="shared" si="6"/>
        <v>0</v>
      </c>
      <c r="I109" s="342">
        <f t="shared" si="7"/>
        <v>0</v>
      </c>
      <c r="K109" s="333">
        <f>'PLANTILLA INV. PISO (0)'!AA106</f>
        <v>0</v>
      </c>
    </row>
    <row r="110" spans="1:11" ht="15" customHeight="1" x14ac:dyDescent="0.3">
      <c r="A110" s="350">
        <f>'PLANTILLA INV. PISO (0)'!A106</f>
        <v>0</v>
      </c>
      <c r="B110" s="350">
        <f>'PLANTILLA INV. PISO (0)'!B106</f>
        <v>0</v>
      </c>
      <c r="C110" s="351">
        <f>'MODIFICAR CODIGOS '!E106</f>
        <v>1</v>
      </c>
      <c r="D110" s="352">
        <f>'PLANTILLA INV. PISO (0)'!U106</f>
        <v>0</v>
      </c>
      <c r="E110" s="132"/>
      <c r="F110" s="339">
        <f t="shared" si="4"/>
        <v>0</v>
      </c>
      <c r="G110" s="340">
        <f t="shared" si="5"/>
        <v>0</v>
      </c>
      <c r="H110" s="341">
        <f t="shared" si="6"/>
        <v>0</v>
      </c>
      <c r="I110" s="342">
        <f t="shared" si="7"/>
        <v>0</v>
      </c>
      <c r="K110" s="333">
        <f>'PLANTILLA INV. PISO (0)'!AA107</f>
        <v>0</v>
      </c>
    </row>
    <row r="111" spans="1:11" ht="15" customHeight="1" x14ac:dyDescent="0.3">
      <c r="A111" s="350">
        <f>'PLANTILLA INV. PISO (0)'!A107</f>
        <v>0</v>
      </c>
      <c r="B111" s="350">
        <f>'PLANTILLA INV. PISO (0)'!B107</f>
        <v>0</v>
      </c>
      <c r="C111" s="351">
        <f>'MODIFICAR CODIGOS '!E107</f>
        <v>1</v>
      </c>
      <c r="D111" s="352">
        <f>'PLANTILLA INV. PISO (0)'!U107</f>
        <v>0</v>
      </c>
      <c r="E111" s="132"/>
      <c r="F111" s="339">
        <f t="shared" si="4"/>
        <v>0</v>
      </c>
      <c r="G111" s="340">
        <f t="shared" si="5"/>
        <v>0</v>
      </c>
      <c r="H111" s="341">
        <f t="shared" si="6"/>
        <v>0</v>
      </c>
      <c r="I111" s="342">
        <f t="shared" si="7"/>
        <v>0</v>
      </c>
      <c r="K111" s="333">
        <f>'PLANTILLA INV. PISO (0)'!AA108</f>
        <v>0</v>
      </c>
    </row>
    <row r="112" spans="1:11" ht="15" customHeight="1" x14ac:dyDescent="0.3">
      <c r="A112" s="350">
        <f>'PLANTILLA INV. PISO (0)'!A108</f>
        <v>135761</v>
      </c>
      <c r="B112" s="350" t="str">
        <f>'PLANTILLA INV. PISO (0)'!B108</f>
        <v>COCA COLA ZERO 250 ML (12)</v>
      </c>
      <c r="C112" s="351">
        <f>'MODIFICAR CODIGOS '!E108</f>
        <v>12</v>
      </c>
      <c r="D112" s="352">
        <f>'PLANTILLA INV. PISO (0)'!U108</f>
        <v>7.09</v>
      </c>
      <c r="E112" s="132"/>
      <c r="F112" s="339">
        <f t="shared" si="4"/>
        <v>7</v>
      </c>
      <c r="G112" s="340">
        <f t="shared" si="5"/>
        <v>8.9999999999999858</v>
      </c>
      <c r="H112" s="341">
        <f t="shared" si="6"/>
        <v>0.74999999999999878</v>
      </c>
      <c r="I112" s="342">
        <f t="shared" si="7"/>
        <v>7.7499999999999991</v>
      </c>
      <c r="K112" s="333">
        <f>'PLANTILLA INV. PISO (0)'!AA109</f>
        <v>0</v>
      </c>
    </row>
    <row r="113" spans="1:11" ht="15" customHeight="1" x14ac:dyDescent="0.3">
      <c r="A113" s="350">
        <f>'PLANTILLA INV. PISO (0)'!A109</f>
        <v>160200</v>
      </c>
      <c r="B113" s="350" t="str">
        <f>'PLANTILLA INV. PISO (0)'!B109</f>
        <v>COCA COLA 250 ML (12)</v>
      </c>
      <c r="C113" s="351">
        <f>'MODIFICAR CODIGOS '!E109</f>
        <v>12</v>
      </c>
      <c r="D113" s="352">
        <f>'PLANTILLA INV. PISO (0)'!U109</f>
        <v>1072</v>
      </c>
      <c r="E113" s="132"/>
      <c r="F113" s="339">
        <f t="shared" si="4"/>
        <v>1072</v>
      </c>
      <c r="G113" s="340">
        <f t="shared" si="5"/>
        <v>0</v>
      </c>
      <c r="H113" s="341">
        <f t="shared" si="6"/>
        <v>0</v>
      </c>
      <c r="I113" s="342">
        <f t="shared" si="7"/>
        <v>1072</v>
      </c>
      <c r="K113" s="333">
        <f>'PLANTILLA INV. PISO (0)'!AA110</f>
        <v>0</v>
      </c>
    </row>
    <row r="114" spans="1:11" ht="15" customHeight="1" x14ac:dyDescent="0.3">
      <c r="A114" s="350">
        <f>'PLANTILLA INV. PISO (0)'!A110</f>
        <v>0</v>
      </c>
      <c r="B114" s="350">
        <f>'PLANTILLA INV. PISO (0)'!B110</f>
        <v>0</v>
      </c>
      <c r="C114" s="351">
        <f>'MODIFICAR CODIGOS '!E110</f>
        <v>1</v>
      </c>
      <c r="D114" s="352">
        <f>'PLANTILLA INV. PISO (0)'!U110</f>
        <v>0</v>
      </c>
      <c r="E114" s="132"/>
      <c r="F114" s="339">
        <f t="shared" si="4"/>
        <v>0</v>
      </c>
      <c r="G114" s="340">
        <f t="shared" si="5"/>
        <v>0</v>
      </c>
      <c r="H114" s="341">
        <f t="shared" si="6"/>
        <v>0</v>
      </c>
      <c r="I114" s="342">
        <f t="shared" si="7"/>
        <v>0</v>
      </c>
      <c r="K114" s="333">
        <f>'PLANTILLA INV. PISO (0)'!AA111</f>
        <v>0</v>
      </c>
    </row>
    <row r="115" spans="1:11" ht="15" customHeight="1" x14ac:dyDescent="0.3">
      <c r="A115" s="350">
        <f>'PLANTILLA INV. PISO (0)'!A111</f>
        <v>0</v>
      </c>
      <c r="B115" s="350">
        <f>'PLANTILLA INV. PISO (0)'!B111</f>
        <v>0</v>
      </c>
      <c r="C115" s="351">
        <f>'MODIFICAR CODIGOS '!E111</f>
        <v>1</v>
      </c>
      <c r="D115" s="352">
        <f>'PLANTILLA INV. PISO (0)'!U111</f>
        <v>0</v>
      </c>
      <c r="E115" s="132"/>
      <c r="F115" s="339">
        <f t="shared" si="4"/>
        <v>0</v>
      </c>
      <c r="G115" s="340">
        <f t="shared" si="5"/>
        <v>0</v>
      </c>
      <c r="H115" s="341">
        <f t="shared" si="6"/>
        <v>0</v>
      </c>
      <c r="I115" s="342">
        <f t="shared" si="7"/>
        <v>0</v>
      </c>
      <c r="K115" s="333">
        <f>'PLANTILLA INV. PISO (0)'!AA112</f>
        <v>0</v>
      </c>
    </row>
    <row r="116" spans="1:11" ht="15" customHeight="1" x14ac:dyDescent="0.3">
      <c r="A116" s="350">
        <f>'PLANTILLA INV. PISO (0)'!A112</f>
        <v>0</v>
      </c>
      <c r="B116" s="350">
        <f>'PLANTILLA INV. PISO (0)'!B112</f>
        <v>0</v>
      </c>
      <c r="C116" s="351">
        <f>'MODIFICAR CODIGOS '!E112</f>
        <v>1</v>
      </c>
      <c r="D116" s="352">
        <f>'PLANTILLA INV. PISO (0)'!U112</f>
        <v>0</v>
      </c>
      <c r="E116" s="132"/>
      <c r="F116" s="339">
        <f t="shared" si="4"/>
        <v>0</v>
      </c>
      <c r="G116" s="340">
        <f t="shared" si="5"/>
        <v>0</v>
      </c>
      <c r="H116" s="341">
        <f t="shared" si="6"/>
        <v>0</v>
      </c>
      <c r="I116" s="342">
        <f t="shared" si="7"/>
        <v>0</v>
      </c>
      <c r="K116" s="333">
        <f>'PLANTILLA INV. PISO (0)'!AA113</f>
        <v>0</v>
      </c>
    </row>
    <row r="117" spans="1:11" ht="15" customHeight="1" x14ac:dyDescent="0.3">
      <c r="A117" s="350" t="str">
        <f>'PLANTILLA INV. PISO (0)'!A113</f>
        <v>*</v>
      </c>
      <c r="B117" s="350">
        <f>'PLANTILLA INV. PISO (0)'!B113</f>
        <v>0</v>
      </c>
      <c r="C117" s="351">
        <f>'MODIFICAR CODIGOS '!E113</f>
        <v>0</v>
      </c>
      <c r="D117" s="352">
        <f>'PLANTILLA INV. PISO (0)'!U113</f>
        <v>0</v>
      </c>
      <c r="E117" s="132"/>
      <c r="F117" s="339">
        <f t="shared" si="4"/>
        <v>0</v>
      </c>
      <c r="G117" s="340">
        <f t="shared" si="5"/>
        <v>0</v>
      </c>
      <c r="H117" s="341" t="e">
        <f t="shared" si="6"/>
        <v>#DIV/0!</v>
      </c>
      <c r="I117" s="342" t="e">
        <f t="shared" si="7"/>
        <v>#DIV/0!</v>
      </c>
      <c r="K117" s="333">
        <f>'PLANTILLA INV. PISO (0)'!AA114</f>
        <v>0</v>
      </c>
    </row>
    <row r="118" spans="1:11" ht="15" customHeight="1" x14ac:dyDescent="0.3">
      <c r="A118" s="350">
        <f>'PLANTILLA INV. PISO (0)'!A114</f>
        <v>0</v>
      </c>
      <c r="B118" s="350">
        <f>'PLANTILLA INV. PISO (0)'!B114</f>
        <v>0</v>
      </c>
      <c r="C118" s="351">
        <f>'MODIFICAR CODIGOS '!E114</f>
        <v>1</v>
      </c>
      <c r="D118" s="352">
        <f>'PLANTILLA INV. PISO (0)'!U114</f>
        <v>0</v>
      </c>
      <c r="E118" s="132"/>
      <c r="F118" s="339">
        <f t="shared" si="4"/>
        <v>0</v>
      </c>
      <c r="G118" s="340">
        <f t="shared" si="5"/>
        <v>0</v>
      </c>
      <c r="H118" s="341">
        <f t="shared" si="6"/>
        <v>0</v>
      </c>
      <c r="I118" s="342">
        <f t="shared" si="7"/>
        <v>0</v>
      </c>
      <c r="K118" s="333">
        <f>'PLANTILLA INV. PISO (0)'!AA115</f>
        <v>0</v>
      </c>
    </row>
    <row r="119" spans="1:11" ht="15" customHeight="1" x14ac:dyDescent="0.3">
      <c r="A119" s="350">
        <f>'PLANTILLA INV. PISO (0)'!A115</f>
        <v>0</v>
      </c>
      <c r="B119" s="350">
        <f>'PLANTILLA INV. PISO (0)'!B115</f>
        <v>0</v>
      </c>
      <c r="C119" s="351">
        <f>'MODIFICAR CODIGOS '!E115</f>
        <v>1</v>
      </c>
      <c r="D119" s="352">
        <f>'PLANTILLA INV. PISO (0)'!U115</f>
        <v>0</v>
      </c>
      <c r="E119" s="132"/>
      <c r="F119" s="339">
        <f t="shared" si="4"/>
        <v>0</v>
      </c>
      <c r="G119" s="340">
        <f t="shared" si="5"/>
        <v>0</v>
      </c>
      <c r="H119" s="341">
        <f t="shared" si="6"/>
        <v>0</v>
      </c>
      <c r="I119" s="342">
        <f t="shared" si="7"/>
        <v>0</v>
      </c>
      <c r="K119" s="333">
        <f>'PLANTILLA INV. PISO (0)'!AA116</f>
        <v>0</v>
      </c>
    </row>
    <row r="120" spans="1:11" ht="15" customHeight="1" x14ac:dyDescent="0.3">
      <c r="A120" s="350">
        <f>'PLANTILLA INV. PISO (0)'!A116</f>
        <v>0</v>
      </c>
      <c r="B120" s="350">
        <f>'PLANTILLA INV. PISO (0)'!B116</f>
        <v>0</v>
      </c>
      <c r="C120" s="351">
        <f>'MODIFICAR CODIGOS '!E116</f>
        <v>1</v>
      </c>
      <c r="D120" s="352">
        <f>'PLANTILLA INV. PISO (0)'!U116</f>
        <v>0</v>
      </c>
      <c r="E120" s="132"/>
      <c r="F120" s="339">
        <f t="shared" si="4"/>
        <v>0</v>
      </c>
      <c r="G120" s="340">
        <f t="shared" si="5"/>
        <v>0</v>
      </c>
      <c r="H120" s="341">
        <f t="shared" si="6"/>
        <v>0</v>
      </c>
      <c r="I120" s="342">
        <f t="shared" si="7"/>
        <v>0</v>
      </c>
      <c r="K120" s="333">
        <f>'PLANTILLA INV. PISO (0)'!AA117</f>
        <v>0</v>
      </c>
    </row>
    <row r="121" spans="1:11" ht="15" customHeight="1" x14ac:dyDescent="0.3">
      <c r="A121" s="350">
        <f>'PLANTILLA INV. PISO (0)'!A117</f>
        <v>0</v>
      </c>
      <c r="B121" s="350">
        <f>'PLANTILLA INV. PISO (0)'!B117</f>
        <v>0</v>
      </c>
      <c r="C121" s="351">
        <f>'MODIFICAR CODIGOS '!E117</f>
        <v>1</v>
      </c>
      <c r="D121" s="352">
        <f>'PLANTILLA INV. PISO (0)'!U117</f>
        <v>0</v>
      </c>
      <c r="E121" s="132"/>
      <c r="F121" s="339">
        <f t="shared" si="4"/>
        <v>0</v>
      </c>
      <c r="G121" s="340">
        <f t="shared" si="5"/>
        <v>0</v>
      </c>
      <c r="H121" s="341">
        <f t="shared" si="6"/>
        <v>0</v>
      </c>
      <c r="I121" s="342">
        <f t="shared" si="7"/>
        <v>0</v>
      </c>
      <c r="K121" s="333">
        <f>'PLANTILLA INV. PISO (0)'!AA118</f>
        <v>0</v>
      </c>
    </row>
    <row r="122" spans="1:11" ht="15" customHeight="1" x14ac:dyDescent="0.3">
      <c r="A122" s="350">
        <f>'PLANTILLA INV. PISO (0)'!A118</f>
        <v>0</v>
      </c>
      <c r="B122" s="350">
        <f>'PLANTILLA INV. PISO (0)'!B118</f>
        <v>0</v>
      </c>
      <c r="C122" s="351">
        <f>'MODIFICAR CODIGOS '!E118</f>
        <v>1</v>
      </c>
      <c r="D122" s="352">
        <f>'PLANTILLA INV. PISO (0)'!U118</f>
        <v>0</v>
      </c>
      <c r="E122" s="132"/>
      <c r="F122" s="339">
        <f t="shared" si="4"/>
        <v>0</v>
      </c>
      <c r="G122" s="340">
        <f t="shared" si="5"/>
        <v>0</v>
      </c>
      <c r="H122" s="341">
        <f t="shared" si="6"/>
        <v>0</v>
      </c>
      <c r="I122" s="342">
        <f t="shared" si="7"/>
        <v>0</v>
      </c>
      <c r="K122" s="333">
        <f>'PLANTILLA INV. PISO (0)'!AA119</f>
        <v>0</v>
      </c>
    </row>
    <row r="123" spans="1:11" ht="15" customHeight="1" x14ac:dyDescent="0.3">
      <c r="A123" s="350" t="str">
        <f>'PLANTILLA INV. PISO (0)'!A119</f>
        <v>*</v>
      </c>
      <c r="B123" s="350">
        <f>'PLANTILLA INV. PISO (0)'!B119</f>
        <v>0</v>
      </c>
      <c r="C123" s="351">
        <f>'MODIFICAR CODIGOS '!E119</f>
        <v>0</v>
      </c>
      <c r="D123" s="352">
        <f>'PLANTILLA INV. PISO (0)'!U119</f>
        <v>0</v>
      </c>
      <c r="E123" s="132"/>
      <c r="F123" s="339">
        <f t="shared" si="4"/>
        <v>0</v>
      </c>
      <c r="G123" s="340">
        <f t="shared" si="5"/>
        <v>0</v>
      </c>
      <c r="H123" s="341" t="e">
        <f t="shared" si="6"/>
        <v>#DIV/0!</v>
      </c>
      <c r="I123" s="342" t="e">
        <f t="shared" si="7"/>
        <v>#DIV/0!</v>
      </c>
      <c r="K123" s="333">
        <f>'PLANTILLA INV. PISO (0)'!AA120</f>
        <v>0</v>
      </c>
    </row>
    <row r="124" spans="1:11" ht="15" customHeight="1" x14ac:dyDescent="0.3">
      <c r="A124" s="350">
        <f>'PLANTILLA INV. PISO (0)'!A120</f>
        <v>0</v>
      </c>
      <c r="B124" s="350">
        <f>'PLANTILLA INV. PISO (0)'!B120</f>
        <v>0</v>
      </c>
      <c r="C124" s="351">
        <f>'MODIFICAR CODIGOS '!E120</f>
        <v>1</v>
      </c>
      <c r="D124" s="352">
        <f>'PLANTILLA INV. PISO (0)'!U120</f>
        <v>0</v>
      </c>
      <c r="E124" s="132"/>
      <c r="F124" s="339">
        <f t="shared" si="4"/>
        <v>0</v>
      </c>
      <c r="G124" s="340">
        <f t="shared" si="5"/>
        <v>0</v>
      </c>
      <c r="H124" s="341">
        <f t="shared" si="6"/>
        <v>0</v>
      </c>
      <c r="I124" s="342">
        <f t="shared" si="7"/>
        <v>0</v>
      </c>
      <c r="K124" s="333">
        <f>'PLANTILLA INV. PISO (0)'!AA121</f>
        <v>0</v>
      </c>
    </row>
    <row r="125" spans="1:11" ht="15" customHeight="1" x14ac:dyDescent="0.3">
      <c r="A125" s="350">
        <f>'PLANTILLA INV. PISO (0)'!A121</f>
        <v>0</v>
      </c>
      <c r="B125" s="350">
        <f>'PLANTILLA INV. PISO (0)'!B121</f>
        <v>0</v>
      </c>
      <c r="C125" s="351">
        <f>'MODIFICAR CODIGOS '!E121</f>
        <v>1</v>
      </c>
      <c r="D125" s="352">
        <f>'PLANTILLA INV. PISO (0)'!U121</f>
        <v>0</v>
      </c>
      <c r="E125" s="132"/>
      <c r="F125" s="339">
        <f t="shared" si="4"/>
        <v>0</v>
      </c>
      <c r="G125" s="340">
        <f t="shared" si="5"/>
        <v>0</v>
      </c>
      <c r="H125" s="341">
        <f t="shared" si="6"/>
        <v>0</v>
      </c>
      <c r="I125" s="342">
        <f t="shared" si="7"/>
        <v>0</v>
      </c>
      <c r="K125" s="333">
        <f>'PLANTILLA INV. PISO (0)'!AA122</f>
        <v>0</v>
      </c>
    </row>
    <row r="126" spans="1:11" ht="15" customHeight="1" x14ac:dyDescent="0.3">
      <c r="A126" s="350">
        <f>'PLANTILLA INV. PISO (0)'!A122</f>
        <v>0</v>
      </c>
      <c r="B126" s="350">
        <f>'PLANTILLA INV. PISO (0)'!B122</f>
        <v>0</v>
      </c>
      <c r="C126" s="351">
        <f>'MODIFICAR CODIGOS '!E122</f>
        <v>1</v>
      </c>
      <c r="D126" s="352">
        <f>'PLANTILLA INV. PISO (0)'!U122</f>
        <v>0</v>
      </c>
      <c r="E126" s="132"/>
      <c r="F126" s="339">
        <f t="shared" si="4"/>
        <v>0</v>
      </c>
      <c r="G126" s="340">
        <f t="shared" si="5"/>
        <v>0</v>
      </c>
      <c r="H126" s="341">
        <f t="shared" si="6"/>
        <v>0</v>
      </c>
      <c r="I126" s="342">
        <f t="shared" si="7"/>
        <v>0</v>
      </c>
      <c r="K126" s="333">
        <f>'PLANTILLA INV. PISO (0)'!AA123</f>
        <v>0</v>
      </c>
    </row>
    <row r="127" spans="1:11" ht="15" customHeight="1" x14ac:dyDescent="0.3">
      <c r="A127" s="350">
        <f>'PLANTILLA INV. PISO (0)'!A123</f>
        <v>0</v>
      </c>
      <c r="B127" s="350">
        <f>'PLANTILLA INV. PISO (0)'!B123</f>
        <v>0</v>
      </c>
      <c r="C127" s="351">
        <f>'MODIFICAR CODIGOS '!E123</f>
        <v>1</v>
      </c>
      <c r="D127" s="352">
        <f>'PLANTILLA INV. PISO (0)'!U123</f>
        <v>0</v>
      </c>
      <c r="E127" s="132"/>
      <c r="F127" s="339">
        <f t="shared" si="4"/>
        <v>0</v>
      </c>
      <c r="G127" s="340">
        <f t="shared" si="5"/>
        <v>0</v>
      </c>
      <c r="H127" s="341">
        <f t="shared" si="6"/>
        <v>0</v>
      </c>
      <c r="I127" s="342">
        <f t="shared" si="7"/>
        <v>0</v>
      </c>
      <c r="K127" s="333">
        <f>'PLANTILLA INV. PISO (0)'!AA124</f>
        <v>0</v>
      </c>
    </row>
    <row r="128" spans="1:11" ht="15" customHeight="1" x14ac:dyDescent="0.3">
      <c r="A128" s="350">
        <f>'PLANTILLA INV. PISO (0)'!A124</f>
        <v>0</v>
      </c>
      <c r="B128" s="350">
        <f>'PLANTILLA INV. PISO (0)'!B124</f>
        <v>0</v>
      </c>
      <c r="C128" s="351">
        <f>'MODIFICAR CODIGOS '!E124</f>
        <v>1</v>
      </c>
      <c r="D128" s="352">
        <f>'PLANTILLA INV. PISO (0)'!U124</f>
        <v>0</v>
      </c>
      <c r="E128" s="132"/>
      <c r="F128" s="339">
        <f t="shared" si="4"/>
        <v>0</v>
      </c>
      <c r="G128" s="340">
        <f t="shared" si="5"/>
        <v>0</v>
      </c>
      <c r="H128" s="341">
        <f t="shared" si="6"/>
        <v>0</v>
      </c>
      <c r="I128" s="342">
        <f t="shared" si="7"/>
        <v>0</v>
      </c>
      <c r="K128" s="333">
        <f>'PLANTILLA INV. PISO (0)'!AA125</f>
        <v>0</v>
      </c>
    </row>
    <row r="129" spans="1:11" ht="15" customHeight="1" x14ac:dyDescent="0.3">
      <c r="A129" s="350">
        <f>'PLANTILLA INV. PISO (0)'!A125</f>
        <v>0</v>
      </c>
      <c r="B129" s="350">
        <f>'PLANTILLA INV. PISO (0)'!B125</f>
        <v>0</v>
      </c>
      <c r="C129" s="351">
        <f>'MODIFICAR CODIGOS '!E125</f>
        <v>1</v>
      </c>
      <c r="D129" s="352">
        <f>'PLANTILLA INV. PISO (0)'!U125</f>
        <v>0</v>
      </c>
      <c r="E129" s="132"/>
      <c r="F129" s="339">
        <f t="shared" si="4"/>
        <v>0</v>
      </c>
      <c r="G129" s="340">
        <f t="shared" si="5"/>
        <v>0</v>
      </c>
      <c r="H129" s="341">
        <f t="shared" si="6"/>
        <v>0</v>
      </c>
      <c r="I129" s="342">
        <f t="shared" si="7"/>
        <v>0</v>
      </c>
      <c r="K129" s="333" t="str">
        <f>'PLANTILLA INV. PISO (0)'!AA126</f>
        <v>FECHA TPM</v>
      </c>
    </row>
    <row r="130" spans="1:11" ht="15" customHeight="1" x14ac:dyDescent="0.3">
      <c r="A130" s="350" t="str">
        <f>'PLANTILLA INV. PISO (0)'!A126</f>
        <v>CODIGO</v>
      </c>
      <c r="B130" s="350" t="str">
        <f>'PLANTILLA INV. PISO (0)'!B126</f>
        <v>PRODUCTO</v>
      </c>
      <c r="C130" s="351">
        <f>'MODIFICAR CODIGOS '!E126</f>
        <v>0</v>
      </c>
      <c r="D130" s="352" t="str">
        <f>'PLANTILLA INV. PISO (0)'!U126</f>
        <v>TOTAL</v>
      </c>
      <c r="E130" s="132"/>
      <c r="F130" s="339" t="e">
        <f t="shared" si="4"/>
        <v>#VALUE!</v>
      </c>
      <c r="G130" s="340" t="e">
        <f t="shared" si="5"/>
        <v>#VALUE!</v>
      </c>
      <c r="H130" s="341" t="e">
        <f t="shared" si="6"/>
        <v>#VALUE!</v>
      </c>
      <c r="I130" s="342" t="e">
        <f t="shared" si="7"/>
        <v>#VALUE!</v>
      </c>
      <c r="K130" s="333">
        <f>'PLANTILLA INV. PISO (0)'!AA127</f>
        <v>0</v>
      </c>
    </row>
    <row r="131" spans="1:11" ht="15" customHeight="1" x14ac:dyDescent="0.3">
      <c r="A131" s="350">
        <f>'PLANTILLA INV. PISO (0)'!A127</f>
        <v>120181</v>
      </c>
      <c r="B131" s="350" t="str">
        <f>'PLANTILLA INV. PISO (0)'!B127</f>
        <v>MONSTER MANGO X12 473ML LAT(12) MQ</v>
      </c>
      <c r="C131" s="351">
        <f>'MODIFICAR CODIGOS '!E127</f>
        <v>12</v>
      </c>
      <c r="D131" s="352">
        <f>'PLANTILLA INV. PISO (0)'!U127</f>
        <v>11.03</v>
      </c>
      <c r="E131" s="132"/>
      <c r="F131" s="339">
        <f t="shared" si="4"/>
        <v>11</v>
      </c>
      <c r="G131" s="340">
        <f t="shared" si="5"/>
        <v>2.9999999999999361</v>
      </c>
      <c r="H131" s="341">
        <f t="shared" si="6"/>
        <v>0.24999999999999467</v>
      </c>
      <c r="I131" s="342">
        <f t="shared" si="7"/>
        <v>11.249999999999995</v>
      </c>
      <c r="K131" s="333">
        <f>'PLANTILLA INV. PISO (0)'!AA128</f>
        <v>0</v>
      </c>
    </row>
    <row r="132" spans="1:11" ht="15" customHeight="1" x14ac:dyDescent="0.3">
      <c r="A132" s="350">
        <f>'PLANTILLA INV. PISO (0)'!A128</f>
        <v>120156</v>
      </c>
      <c r="B132" s="350" t="str">
        <f>'PLANTILLA INV. PISO (0)'!B128</f>
        <v>MONSTER GREEN X12 473ML LAT(12) MQ</v>
      </c>
      <c r="C132" s="351">
        <f>'MODIFICAR CODIGOS '!E128</f>
        <v>12</v>
      </c>
      <c r="D132" s="352">
        <f>'PLANTILLA INV. PISO (0)'!U128</f>
        <v>6</v>
      </c>
      <c r="E132" s="132"/>
      <c r="F132" s="339">
        <f t="shared" si="4"/>
        <v>6</v>
      </c>
      <c r="G132" s="340">
        <f t="shared" si="5"/>
        <v>0</v>
      </c>
      <c r="H132" s="341">
        <f t="shared" si="6"/>
        <v>0</v>
      </c>
      <c r="I132" s="342">
        <f t="shared" si="7"/>
        <v>6</v>
      </c>
      <c r="K132" s="333">
        <f>'PLANTILLA INV. PISO (0)'!AA129</f>
        <v>0</v>
      </c>
    </row>
    <row r="133" spans="1:11" ht="15" customHeight="1" x14ac:dyDescent="0.3">
      <c r="A133" s="350">
        <f>'PLANTILLA INV. PISO (0)'!A129</f>
        <v>120182</v>
      </c>
      <c r="B133" s="350" t="str">
        <f>'PLANTILLA INV. PISO (0)'!B129</f>
        <v>MONSTER PARADISE 473ML LAT(12) MQ</v>
      </c>
      <c r="C133" s="351">
        <f>'MODIFICAR CODIGOS '!E129</f>
        <v>12</v>
      </c>
      <c r="D133" s="352">
        <f>'PLANTILLA INV. PISO (0)'!U129</f>
        <v>29.1</v>
      </c>
      <c r="E133" s="132"/>
      <c r="F133" s="339">
        <f t="shared" si="4"/>
        <v>29</v>
      </c>
      <c r="G133" s="340">
        <f t="shared" si="5"/>
        <v>10.000000000000142</v>
      </c>
      <c r="H133" s="341">
        <f t="shared" si="6"/>
        <v>0.83333333333334514</v>
      </c>
      <c r="I133" s="342">
        <f t="shared" si="7"/>
        <v>29.833333333333346</v>
      </c>
      <c r="K133" s="333">
        <f>'PLANTILLA INV. PISO (0)'!AA130</f>
        <v>0</v>
      </c>
    </row>
    <row r="134" spans="1:11" ht="15" customHeight="1" x14ac:dyDescent="0.3">
      <c r="A134" s="350">
        <f>'PLANTILLA INV. PISO (0)'!A130</f>
        <v>120183</v>
      </c>
      <c r="B134" s="350" t="str">
        <f>'PLANTILLA INV. PISO (0)'!B130</f>
        <v>MONSTER ULTRA 473ML LAT(12) MQ</v>
      </c>
      <c r="C134" s="351">
        <f>'MODIFICAR CODIGOS '!E130</f>
        <v>12</v>
      </c>
      <c r="D134" s="352">
        <f>'PLANTILLA INV. PISO (0)'!U130</f>
        <v>13</v>
      </c>
      <c r="E134" s="132"/>
      <c r="F134" s="339">
        <f t="shared" si="4"/>
        <v>13</v>
      </c>
      <c r="G134" s="340">
        <f t="shared" si="5"/>
        <v>0</v>
      </c>
      <c r="H134" s="341">
        <f t="shared" si="6"/>
        <v>0</v>
      </c>
      <c r="I134" s="342">
        <f t="shared" si="7"/>
        <v>13</v>
      </c>
      <c r="K134" s="333">
        <f>'PLANTILLA INV. PISO (0)'!AA131</f>
        <v>0</v>
      </c>
    </row>
    <row r="135" spans="1:11" ht="15" customHeight="1" x14ac:dyDescent="0.3">
      <c r="A135" s="350">
        <f>'PLANTILLA INV. PISO (0)'!A131</f>
        <v>160259</v>
      </c>
      <c r="B135" s="350" t="str">
        <f>'PLANTILLA INV. PISO (0)'!B131</f>
        <v>MONSTER GREEN LATA 473ML(24)</v>
      </c>
      <c r="C135" s="351">
        <f>'MODIFICAR CODIGOS '!E131</f>
        <v>24</v>
      </c>
      <c r="D135" s="352">
        <f>'PLANTILLA INV. PISO (0)'!U131</f>
        <v>0</v>
      </c>
      <c r="E135" s="132"/>
      <c r="F135" s="339">
        <f t="shared" ref="F135:F198" si="8">ROUNDDOWN(D135,0)</f>
        <v>0</v>
      </c>
      <c r="G135" s="340">
        <f t="shared" ref="G135:G198" si="9">+(D135-F135)*100</f>
        <v>0</v>
      </c>
      <c r="H135" s="341">
        <f t="shared" ref="H135:H198" si="10">G135/C135</f>
        <v>0</v>
      </c>
      <c r="I135" s="342">
        <f t="shared" ref="I135:I198" si="11">F135+H135</f>
        <v>0</v>
      </c>
      <c r="K135" s="333">
        <f>'PLANTILLA INV. PISO (0)'!AA132</f>
        <v>0</v>
      </c>
    </row>
    <row r="136" spans="1:11" ht="15" customHeight="1" x14ac:dyDescent="0.3">
      <c r="A136" s="350">
        <f>'PLANTILLA INV. PISO (0)'!A132</f>
        <v>120023</v>
      </c>
      <c r="B136" s="350" t="str">
        <f>'PLANTILLA INV. PISO (0)'!B132</f>
        <v>MONSTER BLUE ZERO 473 MLLAT(24)</v>
      </c>
      <c r="C136" s="351">
        <f>'MODIFICAR CODIGOS '!E132</f>
        <v>24</v>
      </c>
      <c r="D136" s="352">
        <f>'PLANTILLA INV. PISO (0)'!U132</f>
        <v>0</v>
      </c>
      <c r="E136" s="132"/>
      <c r="F136" s="339">
        <f t="shared" si="8"/>
        <v>0</v>
      </c>
      <c r="G136" s="340">
        <f t="shared" si="9"/>
        <v>0</v>
      </c>
      <c r="H136" s="341">
        <f t="shared" si="10"/>
        <v>0</v>
      </c>
      <c r="I136" s="342">
        <f t="shared" si="11"/>
        <v>0</v>
      </c>
      <c r="K136" s="333">
        <f>'PLANTILLA INV. PISO (0)'!AA139</f>
        <v>0</v>
      </c>
    </row>
    <row r="137" spans="1:11" ht="15" customHeight="1" x14ac:dyDescent="0.3">
      <c r="A137" s="350">
        <f>'PLANTILLA INV. PISO (0)'!A133</f>
        <v>120027</v>
      </c>
      <c r="B137" s="350" t="str">
        <f>'PLANTILLA INV. PISO (0)'!B133</f>
        <v>MONSTER VIOLET  473ML(24)</v>
      </c>
      <c r="C137" s="351">
        <f>'MODIFICAR CODIGOS '!E133</f>
        <v>24</v>
      </c>
      <c r="D137" s="352">
        <f>'PLANTILLA INV. PISO (0)'!U133</f>
        <v>23.11</v>
      </c>
      <c r="E137" s="132"/>
      <c r="F137" s="339">
        <f t="shared" si="8"/>
        <v>23</v>
      </c>
      <c r="G137" s="340">
        <f t="shared" si="9"/>
        <v>10.999999999999943</v>
      </c>
      <c r="H137" s="341">
        <f t="shared" si="10"/>
        <v>0.45833333333333098</v>
      </c>
      <c r="I137" s="342">
        <f t="shared" si="11"/>
        <v>23.458333333333332</v>
      </c>
      <c r="K137" s="333">
        <f>'PLANTILLA INV. PISO (0)'!AA140</f>
        <v>0</v>
      </c>
    </row>
    <row r="138" spans="1:11" ht="15" customHeight="1" x14ac:dyDescent="0.3">
      <c r="A138" s="350">
        <f>'PLANTILLA INV. PISO (0)'!A134</f>
        <v>160378</v>
      </c>
      <c r="B138" s="350" t="str">
        <f>'PLANTILLA INV. PISO (0)'!B134</f>
        <v>MONSTER ULTRA LATA 4 PACK  473ML(24)</v>
      </c>
      <c r="C138" s="351">
        <f>'MODIFICAR CODIGOS '!E134</f>
        <v>24</v>
      </c>
      <c r="D138" s="352">
        <f>'PLANTILLA INV. PISO (0)'!U134</f>
        <v>0</v>
      </c>
      <c r="E138" s="132"/>
      <c r="F138" s="339">
        <f t="shared" si="8"/>
        <v>0</v>
      </c>
      <c r="G138" s="340">
        <f t="shared" si="9"/>
        <v>0</v>
      </c>
      <c r="H138" s="341">
        <f t="shared" si="10"/>
        <v>0</v>
      </c>
      <c r="I138" s="342">
        <f t="shared" si="11"/>
        <v>0</v>
      </c>
      <c r="K138" s="333">
        <f>'PLANTILLA INV. PISO (0)'!AA141</f>
        <v>0</v>
      </c>
    </row>
    <row r="139" spans="1:11" ht="15" customHeight="1" x14ac:dyDescent="0.3">
      <c r="A139" s="350">
        <f>'PLANTILLA INV. PISO (0)'!A135</f>
        <v>120057</v>
      </c>
      <c r="B139" s="350" t="str">
        <f>'PLANTILLA INV. PISO (0)'!B135</f>
        <v>MONSTER MANGO  473ML(24)</v>
      </c>
      <c r="C139" s="351">
        <f>'MODIFICAR CODIGOS '!E135</f>
        <v>24</v>
      </c>
      <c r="D139" s="352">
        <f>'PLANTILLA INV. PISO (0)'!U135</f>
        <v>0</v>
      </c>
      <c r="E139" s="132"/>
      <c r="F139" s="339">
        <f t="shared" si="8"/>
        <v>0</v>
      </c>
      <c r="G139" s="340">
        <f t="shared" si="9"/>
        <v>0</v>
      </c>
      <c r="H139" s="341">
        <f t="shared" si="10"/>
        <v>0</v>
      </c>
      <c r="I139" s="342">
        <f t="shared" si="11"/>
        <v>0</v>
      </c>
      <c r="K139" s="333">
        <f>'PLANTILLA INV. PISO (0)'!AA142</f>
        <v>0</v>
      </c>
    </row>
    <row r="140" spans="1:11" ht="15" customHeight="1" x14ac:dyDescent="0.3">
      <c r="A140" s="350">
        <f>'PLANTILLA INV. PISO (0)'!A136</f>
        <v>120112</v>
      </c>
      <c r="B140" s="350" t="str">
        <f>'PLANTILLA INV. PISO (0)'!B136</f>
        <v>MONSTER PARADAISE 473ML LAT(24)</v>
      </c>
      <c r="C140" s="351">
        <f>'MODIFICAR CODIGOS '!E136</f>
        <v>24</v>
      </c>
      <c r="D140" s="352">
        <f>'PLANTILLA INV. PISO (0)'!U136</f>
        <v>0</v>
      </c>
      <c r="E140" s="132"/>
      <c r="F140" s="339">
        <f t="shared" si="8"/>
        <v>0</v>
      </c>
      <c r="G140" s="340">
        <f t="shared" si="9"/>
        <v>0</v>
      </c>
      <c r="H140" s="341">
        <f t="shared" si="10"/>
        <v>0</v>
      </c>
      <c r="I140" s="342">
        <f t="shared" si="11"/>
        <v>0</v>
      </c>
      <c r="K140" s="333">
        <f>'PLANTILLA INV. PISO (0)'!AA143</f>
        <v>0</v>
      </c>
    </row>
    <row r="141" spans="1:11" ht="15" customHeight="1" x14ac:dyDescent="0.3">
      <c r="A141" s="350">
        <f>'PLANTILLA INV. PISO (0)'!A137</f>
        <v>120175</v>
      </c>
      <c r="B141" s="350" t="str">
        <f>'PLANTILLA INV. PISO (0)'!B137</f>
        <v>MONSTER PIPELINE PUNCH 473ML LAT(24)</v>
      </c>
      <c r="C141" s="351">
        <f>'MODIFICAR CODIGOS '!E137</f>
        <v>24</v>
      </c>
      <c r="D141" s="352">
        <f>'PLANTILLA INV. PISO (0)'!U137</f>
        <v>20.079999999999998</v>
      </c>
      <c r="E141" s="132"/>
      <c r="F141" s="339">
        <f t="shared" si="8"/>
        <v>20</v>
      </c>
      <c r="G141" s="340">
        <f t="shared" si="9"/>
        <v>7.9999999999998295</v>
      </c>
      <c r="H141" s="341">
        <f t="shared" si="10"/>
        <v>0.33333333333332621</v>
      </c>
      <c r="I141" s="342">
        <f t="shared" si="11"/>
        <v>20.333333333333325</v>
      </c>
      <c r="K141" s="333">
        <f>'PLANTILLA INV. PISO (0)'!AA144</f>
        <v>0</v>
      </c>
    </row>
    <row r="142" spans="1:11" ht="15" customHeight="1" x14ac:dyDescent="0.3">
      <c r="A142" s="350">
        <f>'PLANTILLA INV. PISO (0)'!A138</f>
        <v>0</v>
      </c>
      <c r="B142" s="350">
        <f>'PLANTILLA INV. PISO (0)'!B138</f>
        <v>0</v>
      </c>
      <c r="C142" s="351">
        <f>'MODIFICAR CODIGOS '!E138</f>
        <v>1</v>
      </c>
      <c r="D142" s="352">
        <f>'PLANTILLA INV. PISO (0)'!U138</f>
        <v>0</v>
      </c>
      <c r="E142" s="132"/>
      <c r="F142" s="339">
        <f t="shared" si="8"/>
        <v>0</v>
      </c>
      <c r="G142" s="340">
        <f t="shared" si="9"/>
        <v>0</v>
      </c>
      <c r="H142" s="341">
        <f t="shared" si="10"/>
        <v>0</v>
      </c>
      <c r="I142" s="342">
        <f t="shared" si="11"/>
        <v>0</v>
      </c>
      <c r="K142" s="333">
        <f>'PLANTILLA INV. PISO (0)'!AA145</f>
        <v>0</v>
      </c>
    </row>
    <row r="143" spans="1:11" ht="15" customHeight="1" x14ac:dyDescent="0.3">
      <c r="A143" s="350" t="str">
        <f>'PLANTILLA INV. PISO (0)'!A139</f>
        <v>*</v>
      </c>
      <c r="B143" s="350">
        <f>'PLANTILLA INV. PISO (0)'!B139</f>
        <v>0</v>
      </c>
      <c r="C143" s="351">
        <f>'MODIFICAR CODIGOS '!E139</f>
        <v>0</v>
      </c>
      <c r="D143" s="352">
        <f>'PLANTILLA INV. PISO (0)'!U139</f>
        <v>0</v>
      </c>
      <c r="E143" s="132"/>
      <c r="F143" s="339">
        <f t="shared" si="8"/>
        <v>0</v>
      </c>
      <c r="G143" s="340">
        <f t="shared" si="9"/>
        <v>0</v>
      </c>
      <c r="H143" s="341" t="e">
        <f t="shared" si="10"/>
        <v>#DIV/0!</v>
      </c>
      <c r="I143" s="342" t="e">
        <f t="shared" si="11"/>
        <v>#DIV/0!</v>
      </c>
      <c r="K143" s="333">
        <f>'PLANTILLA INV. PISO (0)'!AA146</f>
        <v>0</v>
      </c>
    </row>
    <row r="144" spans="1:11" ht="15" customHeight="1" x14ac:dyDescent="0.3">
      <c r="A144" s="350">
        <f>'PLANTILLA INV. PISO (0)'!A140</f>
        <v>160186</v>
      </c>
      <c r="B144" s="350" t="str">
        <f>'PLANTILLA INV. PISO (0)'!B140</f>
        <v>FUZE TEA TE NEGRO DURAZNO PET 400 ML  (6)</v>
      </c>
      <c r="C144" s="351">
        <f>'MODIFICAR CODIGOS '!E140</f>
        <v>6</v>
      </c>
      <c r="D144" s="352">
        <f>'PLANTILLA INV. PISO (0)'!U140</f>
        <v>2</v>
      </c>
      <c r="E144" s="132"/>
      <c r="F144" s="339">
        <f t="shared" si="8"/>
        <v>2</v>
      </c>
      <c r="G144" s="340">
        <f t="shared" si="9"/>
        <v>0</v>
      </c>
      <c r="H144" s="341">
        <f t="shared" si="10"/>
        <v>0</v>
      </c>
      <c r="I144" s="342">
        <f t="shared" si="11"/>
        <v>2</v>
      </c>
      <c r="K144" s="333">
        <f>'PLANTILLA INV. PISO (0)'!AA147</f>
        <v>0</v>
      </c>
    </row>
    <row r="145" spans="1:11" ht="15" customHeight="1" x14ac:dyDescent="0.3">
      <c r="A145" s="350">
        <f>'PLANTILLA INV. PISO (0)'!A141</f>
        <v>160187</v>
      </c>
      <c r="B145" s="350" t="str">
        <f>'PLANTILLA INV. PISO (0)'!B141</f>
        <v>FUZE TEA TE NEGRO LIMON PET 400 (6)</v>
      </c>
      <c r="C145" s="351">
        <f>'MODIFICAR CODIGOS '!E141</f>
        <v>6</v>
      </c>
      <c r="D145" s="352">
        <f>'PLANTILLA INV. PISO (0)'!U141</f>
        <v>0</v>
      </c>
      <c r="E145" s="132"/>
      <c r="F145" s="339">
        <f t="shared" si="8"/>
        <v>0</v>
      </c>
      <c r="G145" s="340">
        <f t="shared" si="9"/>
        <v>0</v>
      </c>
      <c r="H145" s="341">
        <f t="shared" si="10"/>
        <v>0</v>
      </c>
      <c r="I145" s="342">
        <f t="shared" si="11"/>
        <v>0</v>
      </c>
      <c r="K145" s="333">
        <f>'PLANTILLA INV. PISO (0)'!AA148</f>
        <v>0</v>
      </c>
    </row>
    <row r="146" spans="1:11" ht="15" customHeight="1" x14ac:dyDescent="0.3">
      <c r="A146" s="350">
        <f>'PLANTILLA INV. PISO (0)'!A142</f>
        <v>160188</v>
      </c>
      <c r="B146" s="350" t="str">
        <f>'PLANTILLA INV. PISO (0)'!B142</f>
        <v>FUZE TEA TE NEGRO MANZANA PET 400 (6)</v>
      </c>
      <c r="C146" s="351">
        <f>'MODIFICAR CODIGOS '!E142</f>
        <v>6</v>
      </c>
      <c r="D146" s="352">
        <f>'PLANTILLA INV. PISO (0)'!U142</f>
        <v>9</v>
      </c>
      <c r="E146" s="132"/>
      <c r="F146" s="339">
        <f t="shared" si="8"/>
        <v>9</v>
      </c>
      <c r="G146" s="340">
        <f t="shared" si="9"/>
        <v>0</v>
      </c>
      <c r="H146" s="341">
        <f t="shared" si="10"/>
        <v>0</v>
      </c>
      <c r="I146" s="342">
        <f t="shared" si="11"/>
        <v>9</v>
      </c>
      <c r="K146" s="333">
        <f>'PLANTILLA INV. PISO (0)'!AA149</f>
        <v>0</v>
      </c>
    </row>
    <row r="147" spans="1:11" ht="15" customHeight="1" x14ac:dyDescent="0.3">
      <c r="A147" s="350">
        <f>'PLANTILLA INV. PISO (0)'!A143</f>
        <v>160223</v>
      </c>
      <c r="B147" s="350" t="str">
        <f>'PLANTILLA INV. PISO (0)'!B143</f>
        <v>FUZE TEA TE MANGO PET 400 (6)</v>
      </c>
      <c r="C147" s="351">
        <f>'MODIFICAR CODIGOS '!E143</f>
        <v>6</v>
      </c>
      <c r="D147" s="352">
        <f>'PLANTILLA INV. PISO (0)'!U143</f>
        <v>18.05</v>
      </c>
      <c r="E147" s="132"/>
      <c r="F147" s="339">
        <f t="shared" si="8"/>
        <v>18</v>
      </c>
      <c r="G147" s="340">
        <f t="shared" si="9"/>
        <v>5.0000000000000711</v>
      </c>
      <c r="H147" s="341">
        <f t="shared" si="10"/>
        <v>0.83333333333334514</v>
      </c>
      <c r="I147" s="342">
        <f t="shared" si="11"/>
        <v>18.833333333333346</v>
      </c>
      <c r="K147" s="333">
        <f>'PLANTILLA INV. PISO (0)'!AA150</f>
        <v>0</v>
      </c>
    </row>
    <row r="148" spans="1:11" ht="15" customHeight="1" x14ac:dyDescent="0.3">
      <c r="A148" s="350">
        <f>'PLANTILLA INV. PISO (0)'!A144</f>
        <v>0</v>
      </c>
      <c r="B148" s="350">
        <f>'PLANTILLA INV. PISO (0)'!B144</f>
        <v>0</v>
      </c>
      <c r="C148" s="351">
        <f>'MODIFICAR CODIGOS '!E144</f>
        <v>1</v>
      </c>
      <c r="D148" s="352">
        <f>'PLANTILLA INV. PISO (0)'!U144</f>
        <v>0</v>
      </c>
      <c r="E148" s="132"/>
      <c r="F148" s="339">
        <f t="shared" si="8"/>
        <v>0</v>
      </c>
      <c r="G148" s="340">
        <f t="shared" si="9"/>
        <v>0</v>
      </c>
      <c r="H148" s="341">
        <f t="shared" si="10"/>
        <v>0</v>
      </c>
      <c r="I148" s="342">
        <f t="shared" si="11"/>
        <v>0</v>
      </c>
      <c r="K148" s="333">
        <f>'PLANTILLA INV. PISO (0)'!AA151</f>
        <v>0</v>
      </c>
    </row>
    <row r="149" spans="1:11" ht="15" customHeight="1" x14ac:dyDescent="0.3">
      <c r="A149" s="350">
        <f>'PLANTILLA INV. PISO (0)'!A145</f>
        <v>0</v>
      </c>
      <c r="B149" s="350">
        <f>'PLANTILLA INV. PISO (0)'!B145</f>
        <v>0</v>
      </c>
      <c r="C149" s="351">
        <f>'MODIFICAR CODIGOS '!E145</f>
        <v>1</v>
      </c>
      <c r="D149" s="352">
        <f>'PLANTILLA INV. PISO (0)'!U145</f>
        <v>0</v>
      </c>
      <c r="E149" s="132"/>
      <c r="F149" s="339">
        <f t="shared" si="8"/>
        <v>0</v>
      </c>
      <c r="G149" s="340">
        <f t="shared" si="9"/>
        <v>0</v>
      </c>
      <c r="H149" s="341">
        <f t="shared" si="10"/>
        <v>0</v>
      </c>
      <c r="I149" s="342">
        <f t="shared" si="11"/>
        <v>0</v>
      </c>
      <c r="K149" s="333">
        <f>'PLANTILLA INV. PISO (0)'!AA152</f>
        <v>0</v>
      </c>
    </row>
    <row r="150" spans="1:11" ht="15" customHeight="1" x14ac:dyDescent="0.3">
      <c r="A150" s="350">
        <f>'PLANTILLA INV. PISO (0)'!A146</f>
        <v>0</v>
      </c>
      <c r="B150" s="350">
        <f>'PLANTILLA INV. PISO (0)'!B146</f>
        <v>0</v>
      </c>
      <c r="C150" s="351">
        <f>'MODIFICAR CODIGOS '!E146</f>
        <v>1</v>
      </c>
      <c r="D150" s="352">
        <f>'PLANTILLA INV. PISO (0)'!U146</f>
        <v>0</v>
      </c>
      <c r="E150" s="132"/>
      <c r="F150" s="339">
        <f t="shared" si="8"/>
        <v>0</v>
      </c>
      <c r="G150" s="340">
        <f t="shared" si="9"/>
        <v>0</v>
      </c>
      <c r="H150" s="341">
        <f t="shared" si="10"/>
        <v>0</v>
      </c>
      <c r="I150" s="342">
        <f t="shared" si="11"/>
        <v>0</v>
      </c>
      <c r="K150" s="333">
        <f>'PLANTILLA INV. PISO (0)'!AA153</f>
        <v>0</v>
      </c>
    </row>
    <row r="151" spans="1:11" ht="15" customHeight="1" x14ac:dyDescent="0.3">
      <c r="A151" s="350" t="str">
        <f>'PLANTILLA INV. PISO (0)'!A147</f>
        <v>*</v>
      </c>
      <c r="B151" s="350">
        <f>'PLANTILLA INV. PISO (0)'!B147</f>
        <v>0</v>
      </c>
      <c r="C151" s="351">
        <f>'MODIFICAR CODIGOS '!E147</f>
        <v>0</v>
      </c>
      <c r="D151" s="352">
        <f>'PLANTILLA INV. PISO (0)'!U147</f>
        <v>0</v>
      </c>
      <c r="E151" s="132"/>
      <c r="F151" s="339">
        <f t="shared" si="8"/>
        <v>0</v>
      </c>
      <c r="G151" s="340">
        <f t="shared" si="9"/>
        <v>0</v>
      </c>
      <c r="H151" s="341" t="e">
        <f t="shared" si="10"/>
        <v>#DIV/0!</v>
      </c>
      <c r="I151" s="342" t="e">
        <f t="shared" si="11"/>
        <v>#DIV/0!</v>
      </c>
      <c r="K151" s="333">
        <f>'PLANTILLA INV. PISO (0)'!AA154</f>
        <v>0</v>
      </c>
    </row>
    <row r="152" spans="1:11" ht="15" customHeight="1" x14ac:dyDescent="0.3">
      <c r="A152" s="350">
        <f>'PLANTILLA INV. PISO (0)'!A148</f>
        <v>160080</v>
      </c>
      <c r="B152" s="350" t="str">
        <f>'PLANTILLA INV. PISO (0)'!B148</f>
        <v xml:space="preserve">FUZE TEA TE N. LIMON 1,2 ML </v>
      </c>
      <c r="C152" s="351">
        <f>'MODIFICAR CODIGOS '!E148</f>
        <v>6</v>
      </c>
      <c r="D152" s="352">
        <f>'PLANTILLA INV. PISO (0)'!U148</f>
        <v>3.04</v>
      </c>
      <c r="E152" s="132"/>
      <c r="F152" s="339">
        <f t="shared" si="8"/>
        <v>3</v>
      </c>
      <c r="G152" s="340">
        <f t="shared" si="9"/>
        <v>4.0000000000000036</v>
      </c>
      <c r="H152" s="341">
        <f t="shared" si="10"/>
        <v>0.6666666666666673</v>
      </c>
      <c r="I152" s="342">
        <f t="shared" si="11"/>
        <v>3.6666666666666674</v>
      </c>
      <c r="K152" s="333">
        <f>'PLANTILLA INV. PISO (0)'!AA155</f>
        <v>0</v>
      </c>
    </row>
    <row r="153" spans="1:11" ht="15" customHeight="1" x14ac:dyDescent="0.3">
      <c r="A153" s="350">
        <f>'PLANTILLA INV. PISO (0)'!A149</f>
        <v>160081</v>
      </c>
      <c r="B153" s="350" t="str">
        <f>'PLANTILLA INV. PISO (0)'!B149</f>
        <v>FUZE TEA TE N. DURAZNO1.2ML</v>
      </c>
      <c r="C153" s="351">
        <f>'MODIFICAR CODIGOS '!E149</f>
        <v>6</v>
      </c>
      <c r="D153" s="352">
        <f>'PLANTILLA INV. PISO (0)'!U149</f>
        <v>0</v>
      </c>
      <c r="E153" s="132"/>
      <c r="F153" s="339">
        <f t="shared" si="8"/>
        <v>0</v>
      </c>
      <c r="G153" s="340">
        <f t="shared" si="9"/>
        <v>0</v>
      </c>
      <c r="H153" s="341">
        <f t="shared" si="10"/>
        <v>0</v>
      </c>
      <c r="I153" s="342">
        <f t="shared" si="11"/>
        <v>0</v>
      </c>
      <c r="K153" s="333">
        <f>'PLANTILLA INV. PISO (0)'!AA156</f>
        <v>0</v>
      </c>
    </row>
    <row r="154" spans="1:11" ht="15" customHeight="1" x14ac:dyDescent="0.3">
      <c r="A154" s="350" t="str">
        <f>'PLANTILLA INV. PISO (0)'!A150</f>
        <v>*</v>
      </c>
      <c r="B154" s="350">
        <f>'PLANTILLA INV. PISO (0)'!B150</f>
        <v>0</v>
      </c>
      <c r="C154" s="351">
        <f>'MODIFICAR CODIGOS '!E150</f>
        <v>0</v>
      </c>
      <c r="D154" s="352">
        <f>'PLANTILLA INV. PISO (0)'!U150</f>
        <v>0</v>
      </c>
      <c r="E154" s="132"/>
      <c r="F154" s="339">
        <f t="shared" si="8"/>
        <v>0</v>
      </c>
      <c r="G154" s="340">
        <f t="shared" si="9"/>
        <v>0</v>
      </c>
      <c r="H154" s="341" t="e">
        <f t="shared" si="10"/>
        <v>#DIV/0!</v>
      </c>
      <c r="I154" s="342" t="e">
        <f t="shared" si="11"/>
        <v>#DIV/0!</v>
      </c>
      <c r="K154" s="333">
        <f>'PLANTILLA INV. PISO (0)'!AA157</f>
        <v>0</v>
      </c>
    </row>
    <row r="155" spans="1:11" ht="15" customHeight="1" x14ac:dyDescent="0.3">
      <c r="A155" s="350">
        <f>'PLANTILLA INV. PISO (0)'!A151</f>
        <v>0</v>
      </c>
      <c r="B155" s="350">
        <f>'PLANTILLA INV. PISO (0)'!B151</f>
        <v>0</v>
      </c>
      <c r="C155" s="351">
        <f>'MODIFICAR CODIGOS '!E151</f>
        <v>1</v>
      </c>
      <c r="D155" s="352">
        <f>'PLANTILLA INV. PISO (0)'!U151</f>
        <v>0</v>
      </c>
      <c r="E155" s="132"/>
      <c r="F155" s="339">
        <f t="shared" si="8"/>
        <v>0</v>
      </c>
      <c r="G155" s="340">
        <f t="shared" si="9"/>
        <v>0</v>
      </c>
      <c r="H155" s="341">
        <f t="shared" si="10"/>
        <v>0</v>
      </c>
      <c r="I155" s="342">
        <f t="shared" si="11"/>
        <v>0</v>
      </c>
      <c r="K155" s="333">
        <f>'PLANTILLA INV. PISO (0)'!AA158</f>
        <v>0</v>
      </c>
    </row>
    <row r="156" spans="1:11" ht="15" customHeight="1" x14ac:dyDescent="0.3">
      <c r="A156" s="350">
        <f>'PLANTILLA INV. PISO (0)'!A152</f>
        <v>0</v>
      </c>
      <c r="B156" s="350">
        <f>'PLANTILLA INV. PISO (0)'!B152</f>
        <v>0</v>
      </c>
      <c r="C156" s="351">
        <f>'MODIFICAR CODIGOS '!E152</f>
        <v>1</v>
      </c>
      <c r="D156" s="352">
        <f>'PLANTILLA INV. PISO (0)'!U152</f>
        <v>0</v>
      </c>
      <c r="E156" s="132"/>
      <c r="F156" s="339">
        <f t="shared" si="8"/>
        <v>0</v>
      </c>
      <c r="G156" s="340">
        <f t="shared" si="9"/>
        <v>0</v>
      </c>
      <c r="H156" s="341">
        <f t="shared" si="10"/>
        <v>0</v>
      </c>
      <c r="I156" s="342">
        <f t="shared" si="11"/>
        <v>0</v>
      </c>
      <c r="K156" s="333">
        <f>'PLANTILLA INV. PISO (0)'!AA159</f>
        <v>0</v>
      </c>
    </row>
    <row r="157" spans="1:11" ht="15" customHeight="1" x14ac:dyDescent="0.3">
      <c r="A157" s="350">
        <f>'PLANTILLA INV. PISO (0)'!A153</f>
        <v>0</v>
      </c>
      <c r="B157" s="350">
        <f>'PLANTILLA INV. PISO (0)'!B153</f>
        <v>0</v>
      </c>
      <c r="C157" s="351">
        <f>'MODIFICAR CODIGOS '!E153</f>
        <v>1</v>
      </c>
      <c r="D157" s="352">
        <f>'PLANTILLA INV. PISO (0)'!U153</f>
        <v>0</v>
      </c>
      <c r="E157" s="132"/>
      <c r="F157" s="339">
        <f t="shared" si="8"/>
        <v>0</v>
      </c>
      <c r="G157" s="340">
        <f t="shared" si="9"/>
        <v>0</v>
      </c>
      <c r="H157" s="341">
        <f t="shared" si="10"/>
        <v>0</v>
      </c>
      <c r="I157" s="342">
        <f t="shared" si="11"/>
        <v>0</v>
      </c>
      <c r="K157" s="333">
        <f>'PLANTILLA INV. PISO (0)'!AA160</f>
        <v>0</v>
      </c>
    </row>
    <row r="158" spans="1:11" ht="15" customHeight="1" x14ac:dyDescent="0.3">
      <c r="A158" s="350">
        <f>'PLANTILLA INV. PISO (0)'!A154</f>
        <v>0</v>
      </c>
      <c r="B158" s="350">
        <f>'PLANTILLA INV. PISO (0)'!B154</f>
        <v>0</v>
      </c>
      <c r="C158" s="351">
        <f>'MODIFICAR CODIGOS '!E154</f>
        <v>1</v>
      </c>
      <c r="D158" s="352">
        <f>'PLANTILLA INV. PISO (0)'!U154</f>
        <v>0</v>
      </c>
      <c r="E158" s="132"/>
      <c r="F158" s="339">
        <f t="shared" si="8"/>
        <v>0</v>
      </c>
      <c r="G158" s="340">
        <f t="shared" si="9"/>
        <v>0</v>
      </c>
      <c r="H158" s="341">
        <f t="shared" si="10"/>
        <v>0</v>
      </c>
      <c r="I158" s="342">
        <f t="shared" si="11"/>
        <v>0</v>
      </c>
      <c r="K158" s="333">
        <f>'PLANTILLA INV. PISO (0)'!AA161</f>
        <v>0</v>
      </c>
    </row>
    <row r="159" spans="1:11" ht="15" customHeight="1" x14ac:dyDescent="0.3">
      <c r="A159" s="350">
        <f>'PLANTILLA INV. PISO (0)'!A155</f>
        <v>0</v>
      </c>
      <c r="B159" s="350">
        <f>'PLANTILLA INV. PISO (0)'!B155</f>
        <v>0</v>
      </c>
      <c r="C159" s="351">
        <f>'MODIFICAR CODIGOS '!E155</f>
        <v>1</v>
      </c>
      <c r="D159" s="352">
        <f>'PLANTILLA INV. PISO (0)'!U155</f>
        <v>0</v>
      </c>
      <c r="E159" s="132"/>
      <c r="F159" s="339">
        <f t="shared" si="8"/>
        <v>0</v>
      </c>
      <c r="G159" s="340">
        <f t="shared" si="9"/>
        <v>0</v>
      </c>
      <c r="H159" s="341">
        <f t="shared" si="10"/>
        <v>0</v>
      </c>
      <c r="I159" s="342">
        <f t="shared" si="11"/>
        <v>0</v>
      </c>
      <c r="K159" s="333">
        <f>'PLANTILLA INV. PISO (0)'!AA162</f>
        <v>0</v>
      </c>
    </row>
    <row r="160" spans="1:11" ht="15" customHeight="1" x14ac:dyDescent="0.3">
      <c r="A160" s="350">
        <f>'PLANTILLA INV. PISO (0)'!A156</f>
        <v>0</v>
      </c>
      <c r="B160" s="350">
        <f>'PLANTILLA INV. PISO (0)'!B156</f>
        <v>0</v>
      </c>
      <c r="C160" s="351">
        <f>'MODIFICAR CODIGOS '!E156</f>
        <v>1</v>
      </c>
      <c r="D160" s="352">
        <f>'PLANTILLA INV. PISO (0)'!U156</f>
        <v>0</v>
      </c>
      <c r="E160" s="132"/>
      <c r="F160" s="339">
        <f t="shared" si="8"/>
        <v>0</v>
      </c>
      <c r="G160" s="340">
        <f t="shared" si="9"/>
        <v>0</v>
      </c>
      <c r="H160" s="341">
        <f t="shared" si="10"/>
        <v>0</v>
      </c>
      <c r="I160" s="342">
        <f t="shared" si="11"/>
        <v>0</v>
      </c>
      <c r="K160" s="333">
        <f>'PLANTILLA INV. PISO (0)'!AA163</f>
        <v>0</v>
      </c>
    </row>
    <row r="161" spans="1:11" ht="15" customHeight="1" x14ac:dyDescent="0.3">
      <c r="A161" s="350">
        <f>'PLANTILLA INV. PISO (0)'!A157</f>
        <v>0</v>
      </c>
      <c r="B161" s="350">
        <f>'PLANTILLA INV. PISO (0)'!B157</f>
        <v>0</v>
      </c>
      <c r="C161" s="351">
        <f>'MODIFICAR CODIGOS '!E157</f>
        <v>1</v>
      </c>
      <c r="D161" s="352">
        <f>'PLANTILLA INV. PISO (0)'!U157</f>
        <v>0</v>
      </c>
      <c r="E161" s="132"/>
      <c r="F161" s="339">
        <f t="shared" si="8"/>
        <v>0</v>
      </c>
      <c r="G161" s="340">
        <f t="shared" si="9"/>
        <v>0</v>
      </c>
      <c r="H161" s="341">
        <f t="shared" si="10"/>
        <v>0</v>
      </c>
      <c r="I161" s="342">
        <f t="shared" si="11"/>
        <v>0</v>
      </c>
      <c r="K161" s="333">
        <f>'PLANTILLA INV. PISO (0)'!AA164</f>
        <v>0</v>
      </c>
    </row>
    <row r="162" spans="1:11" ht="15" customHeight="1" x14ac:dyDescent="0.3">
      <c r="A162" s="350">
        <f>'PLANTILLA INV. PISO (0)'!A158</f>
        <v>0</v>
      </c>
      <c r="B162" s="350">
        <f>'PLANTILLA INV. PISO (0)'!B158</f>
        <v>0</v>
      </c>
      <c r="C162" s="351">
        <f>'MODIFICAR CODIGOS '!E158</f>
        <v>1</v>
      </c>
      <c r="D162" s="352">
        <f>'PLANTILLA INV. PISO (0)'!U158</f>
        <v>0</v>
      </c>
      <c r="E162" s="132"/>
      <c r="F162" s="339">
        <f t="shared" si="8"/>
        <v>0</v>
      </c>
      <c r="G162" s="340">
        <f t="shared" si="9"/>
        <v>0</v>
      </c>
      <c r="H162" s="341">
        <f t="shared" si="10"/>
        <v>0</v>
      </c>
      <c r="I162" s="342">
        <f t="shared" si="11"/>
        <v>0</v>
      </c>
      <c r="K162" s="333">
        <f>'PLANTILLA INV. PISO (0)'!AA165</f>
        <v>0</v>
      </c>
    </row>
    <row r="163" spans="1:11" ht="15" customHeight="1" x14ac:dyDescent="0.3">
      <c r="A163" s="350">
        <f>'PLANTILLA INV. PISO (0)'!A159</f>
        <v>120184</v>
      </c>
      <c r="B163" s="350" t="str">
        <f>'PLANTILLA INV. PISO (0)'!B159</f>
        <v>FRESH PONCHE FRUTAS 400 PET (12)</v>
      </c>
      <c r="C163" s="351">
        <f>'MODIFICAR CODIGOS '!E159</f>
        <v>12</v>
      </c>
      <c r="D163" s="352">
        <f>'PLANTILLA INV. PISO (0)'!U159</f>
        <v>0</v>
      </c>
      <c r="E163" s="132"/>
      <c r="F163" s="339">
        <f t="shared" si="8"/>
        <v>0</v>
      </c>
      <c r="G163" s="340">
        <f t="shared" si="9"/>
        <v>0</v>
      </c>
      <c r="H163" s="341">
        <f t="shared" si="10"/>
        <v>0</v>
      </c>
      <c r="I163" s="342">
        <f t="shared" si="11"/>
        <v>0</v>
      </c>
      <c r="K163" s="333">
        <f>'PLANTILLA INV. PISO (0)'!AA166</f>
        <v>0</v>
      </c>
    </row>
    <row r="164" spans="1:11" ht="15" customHeight="1" x14ac:dyDescent="0.3">
      <c r="A164" s="350">
        <f>'PLANTILLA INV. PISO (0)'!A160</f>
        <v>120158</v>
      </c>
      <c r="B164" s="350" t="str">
        <f>'PLANTILLA INV. PISO (0)'!B160</f>
        <v>DEL VALLE MANDARINA 400 ml pet (12)</v>
      </c>
      <c r="C164" s="351">
        <f>'MODIFICAR CODIGOS '!E160</f>
        <v>12</v>
      </c>
      <c r="D164" s="352">
        <f>'PLANTILLA INV. PISO (0)'!U160</f>
        <v>5.07</v>
      </c>
      <c r="E164" s="132"/>
      <c r="F164" s="339">
        <f t="shared" si="8"/>
        <v>5</v>
      </c>
      <c r="G164" s="340">
        <f t="shared" si="9"/>
        <v>7.0000000000000284</v>
      </c>
      <c r="H164" s="341">
        <f t="shared" si="10"/>
        <v>0.5833333333333357</v>
      </c>
      <c r="I164" s="342">
        <f t="shared" si="11"/>
        <v>5.5833333333333357</v>
      </c>
      <c r="K164" s="333">
        <f>'PLANTILLA INV. PISO (0)'!AA167</f>
        <v>0</v>
      </c>
    </row>
    <row r="165" spans="1:11" ht="15" customHeight="1" x14ac:dyDescent="0.3">
      <c r="A165" s="350">
        <f>'PLANTILLA INV. PISO (0)'!A161</f>
        <v>120117</v>
      </c>
      <c r="B165" s="350" t="str">
        <f>'PLANTILLA INV. PISO (0)'!B161</f>
        <v>DEL VALLE CITRUS 400 ml pet (12)</v>
      </c>
      <c r="C165" s="351">
        <f>'MODIFICAR CODIGOS '!E161</f>
        <v>12</v>
      </c>
      <c r="D165" s="352">
        <f>'PLANTILLA INV. PISO (0)'!U161</f>
        <v>458.08</v>
      </c>
      <c r="E165" s="132"/>
      <c r="F165" s="339">
        <f t="shared" si="8"/>
        <v>458</v>
      </c>
      <c r="G165" s="340">
        <f t="shared" si="9"/>
        <v>7.9999999999984084</v>
      </c>
      <c r="H165" s="341">
        <f t="shared" si="10"/>
        <v>0.66666666666653407</v>
      </c>
      <c r="I165" s="342">
        <f t="shared" si="11"/>
        <v>458.66666666666652</v>
      </c>
      <c r="K165" s="333">
        <f>'PLANTILLA INV. PISO (0)'!AA168</f>
        <v>0</v>
      </c>
    </row>
    <row r="166" spans="1:11" ht="15" customHeight="1" x14ac:dyDescent="0.3">
      <c r="A166" s="350" t="str">
        <f>'PLANTILLA INV. PISO (0)'!A162</f>
        <v>*</v>
      </c>
      <c r="B166" s="350">
        <f>'PLANTILLA INV. PISO (0)'!B162</f>
        <v>0</v>
      </c>
      <c r="C166" s="351">
        <f>'MODIFICAR CODIGOS '!E162</f>
        <v>0</v>
      </c>
      <c r="D166" s="352">
        <f>'PLANTILLA INV. PISO (0)'!U162</f>
        <v>0</v>
      </c>
      <c r="E166" s="132"/>
      <c r="F166" s="339">
        <f t="shared" si="8"/>
        <v>0</v>
      </c>
      <c r="G166" s="340">
        <f t="shared" si="9"/>
        <v>0</v>
      </c>
      <c r="H166" s="341" t="e">
        <f t="shared" si="10"/>
        <v>#DIV/0!</v>
      </c>
      <c r="I166" s="342" t="e">
        <f t="shared" si="11"/>
        <v>#DIV/0!</v>
      </c>
      <c r="K166" s="333">
        <f>'PLANTILLA INV. PISO (0)'!AA169</f>
        <v>0</v>
      </c>
    </row>
    <row r="167" spans="1:11" ht="15" customHeight="1" x14ac:dyDescent="0.3">
      <c r="A167" s="350">
        <f>'PLANTILLA INV. PISO (0)'!A163</f>
        <v>0</v>
      </c>
      <c r="B167" s="350">
        <f>'PLANTILLA INV. PISO (0)'!B163</f>
        <v>0</v>
      </c>
      <c r="C167" s="351">
        <f>'MODIFICAR CODIGOS '!E163</f>
        <v>1</v>
      </c>
      <c r="D167" s="352">
        <f>'PLANTILLA INV. PISO (0)'!U163</f>
        <v>0</v>
      </c>
      <c r="E167" s="132"/>
      <c r="F167" s="339">
        <f t="shared" si="8"/>
        <v>0</v>
      </c>
      <c r="G167" s="340">
        <f t="shared" si="9"/>
        <v>0</v>
      </c>
      <c r="H167" s="341">
        <f t="shared" si="10"/>
        <v>0</v>
      </c>
      <c r="I167" s="342">
        <f t="shared" si="11"/>
        <v>0</v>
      </c>
      <c r="K167" s="333">
        <f>'PLANTILLA INV. PISO (0)'!AA170</f>
        <v>0</v>
      </c>
    </row>
    <row r="168" spans="1:11" ht="15" customHeight="1" x14ac:dyDescent="0.3">
      <c r="A168" s="350">
        <f>'PLANTILLA INV. PISO (0)'!A164</f>
        <v>0</v>
      </c>
      <c r="B168" s="350">
        <f>'PLANTILLA INV. PISO (0)'!B164</f>
        <v>0</v>
      </c>
      <c r="C168" s="351">
        <f>'MODIFICAR CODIGOS '!E164</f>
        <v>1</v>
      </c>
      <c r="D168" s="352">
        <f>'PLANTILLA INV. PISO (0)'!U164</f>
        <v>0</v>
      </c>
      <c r="E168" s="132"/>
      <c r="F168" s="339">
        <f t="shared" si="8"/>
        <v>0</v>
      </c>
      <c r="G168" s="340">
        <f t="shared" si="9"/>
        <v>0</v>
      </c>
      <c r="H168" s="341">
        <f t="shared" si="10"/>
        <v>0</v>
      </c>
      <c r="I168" s="342">
        <f t="shared" si="11"/>
        <v>0</v>
      </c>
      <c r="K168" s="333">
        <f>'PLANTILLA INV. PISO (0)'!AA171</f>
        <v>0</v>
      </c>
    </row>
    <row r="169" spans="1:11" ht="15" customHeight="1" x14ac:dyDescent="0.3">
      <c r="A169" s="350">
        <f>'PLANTILLA INV. PISO (0)'!A165</f>
        <v>0</v>
      </c>
      <c r="B169" s="350">
        <f>'PLANTILLA INV. PISO (0)'!B165</f>
        <v>0</v>
      </c>
      <c r="C169" s="351">
        <f>'MODIFICAR CODIGOS '!E165</f>
        <v>1</v>
      </c>
      <c r="D169" s="352">
        <f>'PLANTILLA INV. PISO (0)'!U165</f>
        <v>0</v>
      </c>
      <c r="E169" s="132"/>
      <c r="F169" s="339">
        <f t="shared" si="8"/>
        <v>0</v>
      </c>
      <c r="G169" s="340">
        <f t="shared" si="9"/>
        <v>0</v>
      </c>
      <c r="H169" s="341">
        <f t="shared" si="10"/>
        <v>0</v>
      </c>
      <c r="I169" s="342">
        <f t="shared" si="11"/>
        <v>0</v>
      </c>
      <c r="K169" s="333">
        <f>'PLANTILLA INV. PISO (0)'!AA172</f>
        <v>0</v>
      </c>
    </row>
    <row r="170" spans="1:11" ht="15" customHeight="1" x14ac:dyDescent="0.3">
      <c r="A170" s="350">
        <f>'PLANTILLA INV. PISO (0)'!A166</f>
        <v>0</v>
      </c>
      <c r="B170" s="350">
        <f>'PLANTILLA INV. PISO (0)'!B166</f>
        <v>0</v>
      </c>
      <c r="C170" s="351">
        <f>'MODIFICAR CODIGOS '!E166</f>
        <v>1</v>
      </c>
      <c r="D170" s="352">
        <f>'PLANTILLA INV. PISO (0)'!U166</f>
        <v>0</v>
      </c>
      <c r="E170" s="132"/>
      <c r="F170" s="339">
        <f t="shared" si="8"/>
        <v>0</v>
      </c>
      <c r="G170" s="340">
        <f t="shared" si="9"/>
        <v>0</v>
      </c>
      <c r="H170" s="341">
        <f t="shared" si="10"/>
        <v>0</v>
      </c>
      <c r="I170" s="342">
        <f t="shared" si="11"/>
        <v>0</v>
      </c>
      <c r="K170" s="333">
        <f>'PLANTILLA INV. PISO (0)'!AA173</f>
        <v>0</v>
      </c>
    </row>
    <row r="171" spans="1:11" ht="15" customHeight="1" x14ac:dyDescent="0.3">
      <c r="A171" s="350">
        <f>'PLANTILLA INV. PISO (0)'!A167</f>
        <v>0</v>
      </c>
      <c r="B171" s="350">
        <f>'PLANTILLA INV. PISO (0)'!B167</f>
        <v>0</v>
      </c>
      <c r="C171" s="351">
        <f>'MODIFICAR CODIGOS '!E167</f>
        <v>1</v>
      </c>
      <c r="D171" s="352">
        <f>'PLANTILLA INV. PISO (0)'!U167</f>
        <v>0</v>
      </c>
      <c r="E171" s="132"/>
      <c r="F171" s="339">
        <f t="shared" si="8"/>
        <v>0</v>
      </c>
      <c r="G171" s="340">
        <f t="shared" si="9"/>
        <v>0</v>
      </c>
      <c r="H171" s="341">
        <f t="shared" si="10"/>
        <v>0</v>
      </c>
      <c r="I171" s="342">
        <f t="shared" si="11"/>
        <v>0</v>
      </c>
      <c r="K171" s="333">
        <f>'PLANTILLA INV. PISO (0)'!AA174</f>
        <v>0</v>
      </c>
    </row>
    <row r="172" spans="1:11" ht="15" customHeight="1" x14ac:dyDescent="0.3">
      <c r="A172" s="350">
        <f>'PLANTILLA INV. PISO (0)'!A168</f>
        <v>0</v>
      </c>
      <c r="B172" s="350">
        <f>'PLANTILLA INV. PISO (0)'!B168</f>
        <v>0</v>
      </c>
      <c r="C172" s="351">
        <f>'MODIFICAR CODIGOS '!E168</f>
        <v>1</v>
      </c>
      <c r="D172" s="352">
        <f>'PLANTILLA INV. PISO (0)'!U168</f>
        <v>0</v>
      </c>
      <c r="E172" s="132"/>
      <c r="F172" s="339">
        <f t="shared" si="8"/>
        <v>0</v>
      </c>
      <c r="G172" s="340">
        <f t="shared" si="9"/>
        <v>0</v>
      </c>
      <c r="H172" s="341">
        <f t="shared" si="10"/>
        <v>0</v>
      </c>
      <c r="I172" s="342">
        <f t="shared" si="11"/>
        <v>0</v>
      </c>
      <c r="K172" s="333">
        <f>'PLANTILLA INV. PISO (0)'!AA175</f>
        <v>0</v>
      </c>
    </row>
    <row r="173" spans="1:11" ht="15" customHeight="1" x14ac:dyDescent="0.3">
      <c r="A173" s="350" t="str">
        <f>'PLANTILLA INV. PISO (0)'!A169</f>
        <v>*</v>
      </c>
      <c r="B173" s="350">
        <f>'PLANTILLA INV. PISO (0)'!B169</f>
        <v>0</v>
      </c>
      <c r="C173" s="351">
        <f>'MODIFICAR CODIGOS '!E169</f>
        <v>0</v>
      </c>
      <c r="D173" s="352">
        <f>'PLANTILLA INV. PISO (0)'!U169</f>
        <v>0</v>
      </c>
      <c r="E173" s="132"/>
      <c r="F173" s="339">
        <f t="shared" si="8"/>
        <v>0</v>
      </c>
      <c r="G173" s="340">
        <f t="shared" si="9"/>
        <v>0</v>
      </c>
      <c r="H173" s="341" t="e">
        <f t="shared" si="10"/>
        <v>#DIV/0!</v>
      </c>
      <c r="I173" s="342" t="e">
        <f t="shared" si="11"/>
        <v>#DIV/0!</v>
      </c>
      <c r="K173" s="333">
        <f>'PLANTILLA INV. PISO (0)'!AA176</f>
        <v>0</v>
      </c>
    </row>
    <row r="174" spans="1:11" ht="15" customHeight="1" x14ac:dyDescent="0.3">
      <c r="A174" s="350">
        <f>'PLANTILLA INV. PISO (0)'!A170</f>
        <v>120185</v>
      </c>
      <c r="B174" s="350" t="str">
        <f>'PLANTILLA INV. PISO (0)'!B170</f>
        <v>FRESH PONCHE FRUTAS 1.5 PET(12)</v>
      </c>
      <c r="C174" s="351">
        <f>'MODIFICAR CODIGOS '!E170</f>
        <v>12</v>
      </c>
      <c r="D174" s="352">
        <f>'PLANTILLA INV. PISO (0)'!U170</f>
        <v>75.040000000000006</v>
      </c>
      <c r="E174" s="132"/>
      <c r="F174" s="339">
        <f t="shared" si="8"/>
        <v>75</v>
      </c>
      <c r="G174" s="340">
        <f t="shared" si="9"/>
        <v>4.0000000000006253</v>
      </c>
      <c r="H174" s="341">
        <f t="shared" si="10"/>
        <v>0.33333333333338544</v>
      </c>
      <c r="I174" s="342">
        <f t="shared" si="11"/>
        <v>75.333333333333385</v>
      </c>
      <c r="K174" s="333">
        <f>'PLANTILLA INV. PISO (0)'!AA177</f>
        <v>0</v>
      </c>
    </row>
    <row r="175" spans="1:11" ht="15" customHeight="1" x14ac:dyDescent="0.3">
      <c r="A175" s="350">
        <f>'PLANTILLA INV. PISO (0)'!A171</f>
        <v>120159</v>
      </c>
      <c r="B175" s="350" t="str">
        <f>'PLANTILLA INV. PISO (0)'!B171</f>
        <v xml:space="preserve">Fresh Mandarina 1,5ml </v>
      </c>
      <c r="C175" s="351">
        <f>'MODIFICAR CODIGOS '!E171</f>
        <v>12</v>
      </c>
      <c r="D175" s="352">
        <f>'PLANTILLA INV. PISO (0)'!U171</f>
        <v>0</v>
      </c>
      <c r="E175" s="132"/>
      <c r="F175" s="339">
        <f t="shared" si="8"/>
        <v>0</v>
      </c>
      <c r="G175" s="340">
        <f t="shared" si="9"/>
        <v>0</v>
      </c>
      <c r="H175" s="341">
        <f t="shared" si="10"/>
        <v>0</v>
      </c>
      <c r="I175" s="342">
        <f t="shared" si="11"/>
        <v>0</v>
      </c>
      <c r="K175" s="333">
        <f>'PLANTILLA INV. PISO (0)'!AA178</f>
        <v>0</v>
      </c>
    </row>
    <row r="176" spans="1:11" ht="15" customHeight="1" x14ac:dyDescent="0.3">
      <c r="A176" s="350">
        <f>'PLANTILLA INV. PISO (0)'!A172</f>
        <v>0</v>
      </c>
      <c r="B176" s="350">
        <f>'PLANTILLA INV. PISO (0)'!B172</f>
        <v>0</v>
      </c>
      <c r="C176" s="351">
        <f>'MODIFICAR CODIGOS '!E172</f>
        <v>1</v>
      </c>
      <c r="D176" s="352">
        <f>'PLANTILLA INV. PISO (0)'!U172</f>
        <v>0</v>
      </c>
      <c r="E176" s="132"/>
      <c r="F176" s="339">
        <f t="shared" si="8"/>
        <v>0</v>
      </c>
      <c r="G176" s="340">
        <f t="shared" si="9"/>
        <v>0</v>
      </c>
      <c r="H176" s="341">
        <f t="shared" si="10"/>
        <v>0</v>
      </c>
      <c r="I176" s="342">
        <f t="shared" si="11"/>
        <v>0</v>
      </c>
      <c r="K176" s="333">
        <f>'PLANTILLA INV. PISO (0)'!AA179</f>
        <v>0</v>
      </c>
    </row>
    <row r="177" spans="1:11" ht="15" customHeight="1" x14ac:dyDescent="0.3">
      <c r="A177" s="350">
        <f>'PLANTILLA INV. PISO (0)'!A173</f>
        <v>0</v>
      </c>
      <c r="B177" s="350">
        <f>'PLANTILLA INV. PISO (0)'!B173</f>
        <v>0</v>
      </c>
      <c r="C177" s="351">
        <f>'MODIFICAR CODIGOS '!E173</f>
        <v>1</v>
      </c>
      <c r="D177" s="352">
        <f>'PLANTILLA INV. PISO (0)'!U173</f>
        <v>0</v>
      </c>
      <c r="E177" s="132"/>
      <c r="F177" s="339">
        <f t="shared" si="8"/>
        <v>0</v>
      </c>
      <c r="G177" s="340">
        <f t="shared" si="9"/>
        <v>0</v>
      </c>
      <c r="H177" s="341">
        <f t="shared" si="10"/>
        <v>0</v>
      </c>
      <c r="I177" s="342">
        <f t="shared" si="11"/>
        <v>0</v>
      </c>
      <c r="K177" s="333">
        <f>'PLANTILLA INV. PISO (0)'!AA180</f>
        <v>0</v>
      </c>
    </row>
    <row r="178" spans="1:11" ht="15" customHeight="1" x14ac:dyDescent="0.3">
      <c r="A178" s="350">
        <f>'PLANTILLA INV. PISO (0)'!A174</f>
        <v>0</v>
      </c>
      <c r="B178" s="350">
        <f>'PLANTILLA INV. PISO (0)'!B174</f>
        <v>0</v>
      </c>
      <c r="C178" s="351">
        <f>'MODIFICAR CODIGOS '!E174</f>
        <v>1</v>
      </c>
      <c r="D178" s="352">
        <f>'PLANTILLA INV. PISO (0)'!U174</f>
        <v>0</v>
      </c>
      <c r="E178" s="132"/>
      <c r="F178" s="339">
        <f t="shared" si="8"/>
        <v>0</v>
      </c>
      <c r="G178" s="340">
        <f t="shared" si="9"/>
        <v>0</v>
      </c>
      <c r="H178" s="341">
        <f t="shared" si="10"/>
        <v>0</v>
      </c>
      <c r="I178" s="342">
        <f t="shared" si="11"/>
        <v>0</v>
      </c>
      <c r="K178" s="333">
        <f>'PLANTILLA INV. PISO (0)'!AA181</f>
        <v>0</v>
      </c>
    </row>
    <row r="179" spans="1:11" ht="15" customHeight="1" x14ac:dyDescent="0.3">
      <c r="A179" s="350">
        <f>'PLANTILLA INV. PISO (0)'!A175</f>
        <v>0</v>
      </c>
      <c r="B179" s="350">
        <f>'PLANTILLA INV. PISO (0)'!B175</f>
        <v>0</v>
      </c>
      <c r="C179" s="351">
        <f>'MODIFICAR CODIGOS '!E175</f>
        <v>1</v>
      </c>
      <c r="D179" s="352">
        <f>'PLANTILLA INV. PISO (0)'!U175</f>
        <v>0</v>
      </c>
      <c r="E179" s="132"/>
      <c r="F179" s="339">
        <f t="shared" si="8"/>
        <v>0</v>
      </c>
      <c r="G179" s="340">
        <f t="shared" si="9"/>
        <v>0</v>
      </c>
      <c r="H179" s="341">
        <f t="shared" si="10"/>
        <v>0</v>
      </c>
      <c r="I179" s="342">
        <f t="shared" si="11"/>
        <v>0</v>
      </c>
      <c r="K179" s="333">
        <f>'PLANTILLA INV. PISO (0)'!AA182</f>
        <v>0</v>
      </c>
    </row>
    <row r="180" spans="1:11" ht="15" customHeight="1" x14ac:dyDescent="0.3">
      <c r="A180" s="350">
        <f>'PLANTILLA INV. PISO (0)'!A176</f>
        <v>0</v>
      </c>
      <c r="B180" s="350">
        <f>'PLANTILLA INV. PISO (0)'!B176</f>
        <v>0</v>
      </c>
      <c r="C180" s="351">
        <f>'MODIFICAR CODIGOS '!E176</f>
        <v>1</v>
      </c>
      <c r="D180" s="352">
        <f>'PLANTILLA INV. PISO (0)'!U176</f>
        <v>0</v>
      </c>
      <c r="E180" s="132"/>
      <c r="F180" s="339">
        <f t="shared" si="8"/>
        <v>0</v>
      </c>
      <c r="G180" s="340">
        <f t="shared" si="9"/>
        <v>0</v>
      </c>
      <c r="H180" s="341">
        <f t="shared" si="10"/>
        <v>0</v>
      </c>
      <c r="I180" s="342">
        <f t="shared" si="11"/>
        <v>0</v>
      </c>
      <c r="K180" s="333">
        <f>'PLANTILLA INV. PISO (0)'!AA183</f>
        <v>0</v>
      </c>
    </row>
    <row r="181" spans="1:11" ht="15" customHeight="1" x14ac:dyDescent="0.3">
      <c r="A181" s="350">
        <f>'PLANTILLA INV. PISO (0)'!A177</f>
        <v>0</v>
      </c>
      <c r="B181" s="350">
        <f>'PLANTILLA INV. PISO (0)'!B177</f>
        <v>0</v>
      </c>
      <c r="C181" s="351">
        <f>'MODIFICAR CODIGOS '!E177</f>
        <v>1</v>
      </c>
      <c r="D181" s="352">
        <f>'PLANTILLA INV. PISO (0)'!U177</f>
        <v>0</v>
      </c>
      <c r="E181" s="132"/>
      <c r="F181" s="339">
        <f t="shared" si="8"/>
        <v>0</v>
      </c>
      <c r="G181" s="340">
        <f t="shared" si="9"/>
        <v>0</v>
      </c>
      <c r="H181" s="341">
        <f t="shared" si="10"/>
        <v>0</v>
      </c>
      <c r="I181" s="342">
        <f t="shared" si="11"/>
        <v>0</v>
      </c>
      <c r="K181" s="333">
        <f>'PLANTILLA INV. PISO (0)'!AA184</f>
        <v>0</v>
      </c>
    </row>
    <row r="182" spans="1:11" ht="15" customHeight="1" x14ac:dyDescent="0.3">
      <c r="A182" s="350">
        <f>'PLANTILLA INV. PISO (0)'!A178</f>
        <v>0</v>
      </c>
      <c r="B182" s="350">
        <f>'PLANTILLA INV. PISO (0)'!B178</f>
        <v>0</v>
      </c>
      <c r="C182" s="351">
        <f>'MODIFICAR CODIGOS '!E178</f>
        <v>1</v>
      </c>
      <c r="D182" s="352">
        <f>'PLANTILLA INV. PISO (0)'!U178</f>
        <v>0</v>
      </c>
      <c r="E182" s="132"/>
      <c r="F182" s="339">
        <f t="shared" si="8"/>
        <v>0</v>
      </c>
      <c r="G182" s="340">
        <f t="shared" si="9"/>
        <v>0</v>
      </c>
      <c r="H182" s="341">
        <f t="shared" si="10"/>
        <v>0</v>
      </c>
      <c r="I182" s="342">
        <f t="shared" si="11"/>
        <v>0</v>
      </c>
      <c r="K182" s="333">
        <f>'PLANTILLA INV. PISO (0)'!AA185</f>
        <v>0</v>
      </c>
    </row>
    <row r="183" spans="1:11" ht="15" customHeight="1" x14ac:dyDescent="0.3">
      <c r="A183" s="350">
        <f>'PLANTILLA INV. PISO (0)'!A179</f>
        <v>120160</v>
      </c>
      <c r="B183" s="350" t="str">
        <f>'PLANTILLA INV. PISO (0)'!B179</f>
        <v>FRESH MANDARINA 2.5 LT PET (8)</v>
      </c>
      <c r="C183" s="351">
        <f>'MODIFICAR CODIGOS '!E179</f>
        <v>8</v>
      </c>
      <c r="D183" s="352">
        <f>'PLANTILLA INV. PISO (0)'!U179</f>
        <v>8</v>
      </c>
      <c r="E183" s="132"/>
      <c r="F183" s="339">
        <f t="shared" si="8"/>
        <v>8</v>
      </c>
      <c r="G183" s="340">
        <f t="shared" si="9"/>
        <v>0</v>
      </c>
      <c r="H183" s="341">
        <f t="shared" si="10"/>
        <v>0</v>
      </c>
      <c r="I183" s="342">
        <f t="shared" si="11"/>
        <v>8</v>
      </c>
      <c r="K183" s="333">
        <f>'PLANTILLA INV. PISO (0)'!AA186</f>
        <v>0</v>
      </c>
    </row>
    <row r="184" spans="1:11" ht="15" customHeight="1" x14ac:dyDescent="0.3">
      <c r="A184" s="350">
        <f>'PLANTILLA INV. PISO (0)'!A180</f>
        <v>0</v>
      </c>
      <c r="B184" s="350">
        <f>'PLANTILLA INV. PISO (0)'!B180</f>
        <v>0</v>
      </c>
      <c r="C184" s="351">
        <f>'MODIFICAR CODIGOS '!E180</f>
        <v>1</v>
      </c>
      <c r="D184" s="352">
        <f>'PLANTILLA INV. PISO (0)'!U180</f>
        <v>0</v>
      </c>
      <c r="E184" s="132"/>
      <c r="F184" s="339">
        <f t="shared" si="8"/>
        <v>0</v>
      </c>
      <c r="G184" s="340">
        <f t="shared" si="9"/>
        <v>0</v>
      </c>
      <c r="H184" s="341">
        <f t="shared" si="10"/>
        <v>0</v>
      </c>
      <c r="I184" s="342">
        <f t="shared" si="11"/>
        <v>0</v>
      </c>
      <c r="K184" s="333">
        <f>'PLANTILLA INV. PISO (0)'!AA187</f>
        <v>0</v>
      </c>
    </row>
    <row r="185" spans="1:11" ht="15" customHeight="1" x14ac:dyDescent="0.3">
      <c r="A185" s="350">
        <f>'PLANTILLA INV. PISO (0)'!A181</f>
        <v>0</v>
      </c>
      <c r="B185" s="350">
        <f>'PLANTILLA INV. PISO (0)'!B181</f>
        <v>0</v>
      </c>
      <c r="C185" s="351">
        <f>'MODIFICAR CODIGOS '!E181</f>
        <v>1</v>
      </c>
      <c r="D185" s="352">
        <f>'PLANTILLA INV. PISO (0)'!U181</f>
        <v>0</v>
      </c>
      <c r="E185" s="132"/>
      <c r="F185" s="339">
        <f t="shared" si="8"/>
        <v>0</v>
      </c>
      <c r="G185" s="340">
        <f t="shared" si="9"/>
        <v>0</v>
      </c>
      <c r="H185" s="341">
        <f t="shared" si="10"/>
        <v>0</v>
      </c>
      <c r="I185" s="342">
        <f t="shared" si="11"/>
        <v>0</v>
      </c>
      <c r="K185" s="333">
        <f>'PLANTILLA INV. PISO (0)'!AA188</f>
        <v>0</v>
      </c>
    </row>
    <row r="186" spans="1:11" ht="15" customHeight="1" x14ac:dyDescent="0.3">
      <c r="A186" s="350">
        <f>'PLANTILLA INV. PISO (0)'!A182</f>
        <v>0</v>
      </c>
      <c r="B186" s="350">
        <f>'PLANTILLA INV. PISO (0)'!B182</f>
        <v>0</v>
      </c>
      <c r="C186" s="351">
        <f>'MODIFICAR CODIGOS '!E182</f>
        <v>1</v>
      </c>
      <c r="D186" s="352">
        <f>'PLANTILLA INV. PISO (0)'!U182</f>
        <v>0</v>
      </c>
      <c r="E186" s="132"/>
      <c r="F186" s="339">
        <f t="shared" si="8"/>
        <v>0</v>
      </c>
      <c r="G186" s="340">
        <f t="shared" si="9"/>
        <v>0</v>
      </c>
      <c r="H186" s="341">
        <f t="shared" si="10"/>
        <v>0</v>
      </c>
      <c r="I186" s="342">
        <f t="shared" si="11"/>
        <v>0</v>
      </c>
      <c r="K186" s="333">
        <f>'PLANTILLA INV. PISO (0)'!AA189</f>
        <v>0</v>
      </c>
    </row>
    <row r="187" spans="1:11" ht="15" customHeight="1" x14ac:dyDescent="0.3">
      <c r="A187" s="350">
        <f>'PLANTILLA INV. PISO (0)'!A183</f>
        <v>120118</v>
      </c>
      <c r="B187" s="350" t="str">
        <f>'PLANTILLA INV. PISO (0)'!B183</f>
        <v>DEL VALLE CITRUS 1.5 LTS PET (12)</v>
      </c>
      <c r="C187" s="351">
        <f>'MODIFICAR CODIGOS '!E183</f>
        <v>12</v>
      </c>
      <c r="D187" s="352">
        <f>'PLANTILLA INV. PISO (0)'!U183</f>
        <v>253.03</v>
      </c>
      <c r="E187" s="132"/>
      <c r="F187" s="339">
        <f t="shared" si="8"/>
        <v>253</v>
      </c>
      <c r="G187" s="340">
        <f t="shared" si="9"/>
        <v>3.0000000000001137</v>
      </c>
      <c r="H187" s="341">
        <f>G187/C187</f>
        <v>0.25000000000000949</v>
      </c>
      <c r="I187" s="342">
        <f t="shared" si="11"/>
        <v>253.25</v>
      </c>
      <c r="K187" s="333">
        <f>'PLANTILLA INV. PISO (0)'!AA190</f>
        <v>0</v>
      </c>
    </row>
    <row r="188" spans="1:11" ht="15" customHeight="1" x14ac:dyDescent="0.3">
      <c r="A188" s="350">
        <f>'PLANTILLA INV. PISO (0)'!A184</f>
        <v>120119</v>
      </c>
      <c r="B188" s="350" t="str">
        <f>'PLANTILLA INV. PISO (0)'!B184</f>
        <v>DEL VALLE CITRUS 2.5 LTS PET (6)</v>
      </c>
      <c r="C188" s="351">
        <f>'MODIFICAR CODIGOS '!E184</f>
        <v>8</v>
      </c>
      <c r="D188" s="352">
        <f>'PLANTILLA INV. PISO (0)'!U184</f>
        <v>22.01</v>
      </c>
      <c r="E188" s="132"/>
      <c r="F188" s="339">
        <f t="shared" si="8"/>
        <v>22</v>
      </c>
      <c r="G188" s="340">
        <f t="shared" si="9"/>
        <v>1.0000000000001563</v>
      </c>
      <c r="H188" s="341">
        <f t="shared" si="10"/>
        <v>0.12500000000001954</v>
      </c>
      <c r="I188" s="342">
        <f t="shared" si="11"/>
        <v>22.125000000000021</v>
      </c>
      <c r="K188" s="333">
        <f>'PLANTILLA INV. PISO (0)'!AA191</f>
        <v>0</v>
      </c>
    </row>
    <row r="189" spans="1:11" ht="15" customHeight="1" x14ac:dyDescent="0.3">
      <c r="A189" s="350" t="str">
        <f>'PLANTILLA INV. PISO (0)'!A185</f>
        <v>*</v>
      </c>
      <c r="B189" s="350">
        <f>'PLANTILLA INV. PISO (0)'!B185</f>
        <v>0</v>
      </c>
      <c r="C189" s="351">
        <f>'MODIFICAR CODIGOS '!E185</f>
        <v>0</v>
      </c>
      <c r="D189" s="352">
        <f>'PLANTILLA INV. PISO (0)'!U185</f>
        <v>0</v>
      </c>
      <c r="E189" s="132"/>
      <c r="F189" s="339">
        <f t="shared" si="8"/>
        <v>0</v>
      </c>
      <c r="G189" s="340">
        <f t="shared" si="9"/>
        <v>0</v>
      </c>
      <c r="H189" s="341" t="e">
        <f t="shared" si="10"/>
        <v>#DIV/0!</v>
      </c>
      <c r="I189" s="342" t="e">
        <f t="shared" si="11"/>
        <v>#DIV/0!</v>
      </c>
      <c r="K189" s="333">
        <f>'PLANTILLA INV. PISO (0)'!AA192</f>
        <v>0</v>
      </c>
    </row>
    <row r="190" spans="1:11" ht="15" customHeight="1" x14ac:dyDescent="0.3">
      <c r="A190" s="350">
        <f>'PLANTILLA INV. PISO (0)'!A186</f>
        <v>0</v>
      </c>
      <c r="B190" s="350">
        <f>'PLANTILLA INV. PISO (0)'!B186</f>
        <v>0</v>
      </c>
      <c r="C190" s="351">
        <f>'MODIFICAR CODIGOS '!E186</f>
        <v>1</v>
      </c>
      <c r="D190" s="352">
        <f>'PLANTILLA INV. PISO (0)'!U186</f>
        <v>0</v>
      </c>
      <c r="E190" s="132"/>
      <c r="F190" s="339">
        <f t="shared" si="8"/>
        <v>0</v>
      </c>
      <c r="G190" s="340">
        <f t="shared" si="9"/>
        <v>0</v>
      </c>
      <c r="H190" s="341">
        <f t="shared" si="10"/>
        <v>0</v>
      </c>
      <c r="I190" s="342">
        <f t="shared" si="11"/>
        <v>0</v>
      </c>
      <c r="K190" s="333">
        <f>'PLANTILLA INV. PISO (0)'!AA193</f>
        <v>0</v>
      </c>
    </row>
    <row r="191" spans="1:11" ht="15" customHeight="1" x14ac:dyDescent="0.3">
      <c r="A191" s="350">
        <f>'PLANTILLA INV. PISO (0)'!A187</f>
        <v>0</v>
      </c>
      <c r="B191" s="350">
        <f>'PLANTILLA INV. PISO (0)'!B187</f>
        <v>0</v>
      </c>
      <c r="C191" s="351">
        <f>'MODIFICAR CODIGOS '!E187</f>
        <v>1</v>
      </c>
      <c r="D191" s="352">
        <f>'PLANTILLA INV. PISO (0)'!U187</f>
        <v>0</v>
      </c>
      <c r="E191" s="132"/>
      <c r="F191" s="339">
        <f t="shared" si="8"/>
        <v>0</v>
      </c>
      <c r="G191" s="340">
        <f t="shared" si="9"/>
        <v>0</v>
      </c>
      <c r="H191" s="341">
        <f t="shared" si="10"/>
        <v>0</v>
      </c>
      <c r="I191" s="342">
        <f t="shared" si="11"/>
        <v>0</v>
      </c>
      <c r="K191" s="333" t="str">
        <f>'PLANTILLA INV. PISO (0)'!AA194</f>
        <v>FECHA TPM</v>
      </c>
    </row>
    <row r="192" spans="1:11" ht="15" customHeight="1" x14ac:dyDescent="0.3">
      <c r="A192" s="350">
        <f>'PLANTILLA INV. PISO (0)'!A188</f>
        <v>0</v>
      </c>
      <c r="B192" s="350">
        <f>'PLANTILLA INV. PISO (0)'!B188</f>
        <v>0</v>
      </c>
      <c r="C192" s="351">
        <f>'MODIFICAR CODIGOS '!E188</f>
        <v>1</v>
      </c>
      <c r="D192" s="352">
        <f>'PLANTILLA INV. PISO (0)'!U188</f>
        <v>0</v>
      </c>
      <c r="E192" s="132"/>
      <c r="F192" s="339">
        <f t="shared" si="8"/>
        <v>0</v>
      </c>
      <c r="G192" s="340">
        <f t="shared" si="9"/>
        <v>0</v>
      </c>
      <c r="H192" s="341">
        <f t="shared" si="10"/>
        <v>0</v>
      </c>
      <c r="I192" s="342">
        <f t="shared" si="11"/>
        <v>0</v>
      </c>
      <c r="K192" s="333">
        <f>'PLANTILLA INV. PISO (0)'!AA195</f>
        <v>0</v>
      </c>
    </row>
    <row r="193" spans="1:11" ht="15" customHeight="1" x14ac:dyDescent="0.3">
      <c r="A193" s="350">
        <f>'PLANTILLA INV. PISO (0)'!A189</f>
        <v>0</v>
      </c>
      <c r="B193" s="350">
        <f>'PLANTILLA INV. PISO (0)'!B189</f>
        <v>0</v>
      </c>
      <c r="C193" s="351">
        <f>'MODIFICAR CODIGOS '!E189</f>
        <v>1</v>
      </c>
      <c r="D193" s="352">
        <f>'PLANTILLA INV. PISO (0)'!U189</f>
        <v>0</v>
      </c>
      <c r="E193" s="132"/>
      <c r="F193" s="339">
        <f t="shared" si="8"/>
        <v>0</v>
      </c>
      <c r="G193" s="340">
        <f t="shared" si="9"/>
        <v>0</v>
      </c>
      <c r="H193" s="341">
        <f t="shared" si="10"/>
        <v>0</v>
      </c>
      <c r="I193" s="342">
        <f t="shared" si="11"/>
        <v>0</v>
      </c>
      <c r="K193" s="333">
        <f>'PLANTILLA INV. PISO (0)'!AA196</f>
        <v>0</v>
      </c>
    </row>
    <row r="194" spans="1:11" ht="15" customHeight="1" x14ac:dyDescent="0.3">
      <c r="A194" s="350">
        <f>'PLANTILLA INV. PISO (0)'!A190</f>
        <v>0</v>
      </c>
      <c r="B194" s="350">
        <f>'PLANTILLA INV. PISO (0)'!B190</f>
        <v>0</v>
      </c>
      <c r="C194" s="351">
        <f>'MODIFICAR CODIGOS '!E190</f>
        <v>1</v>
      </c>
      <c r="D194" s="352">
        <f>'PLANTILLA INV. PISO (0)'!U190</f>
        <v>0</v>
      </c>
      <c r="E194" s="132"/>
      <c r="F194" s="339">
        <f t="shared" si="8"/>
        <v>0</v>
      </c>
      <c r="G194" s="340">
        <f t="shared" si="9"/>
        <v>0</v>
      </c>
      <c r="H194" s="341">
        <f t="shared" si="10"/>
        <v>0</v>
      </c>
      <c r="I194" s="342">
        <f t="shared" si="11"/>
        <v>0</v>
      </c>
      <c r="K194" s="333">
        <f>'PLANTILLA INV. PISO (0)'!AA197</f>
        <v>0</v>
      </c>
    </row>
    <row r="195" spans="1:11" ht="15" customHeight="1" x14ac:dyDescent="0.3">
      <c r="A195" s="350">
        <f>'PLANTILLA INV. PISO (0)'!A191</f>
        <v>0</v>
      </c>
      <c r="B195" s="350">
        <f>'PLANTILLA INV. PISO (0)'!B191</f>
        <v>0</v>
      </c>
      <c r="C195" s="351">
        <f>'MODIFICAR CODIGOS '!E191</f>
        <v>1</v>
      </c>
      <c r="D195" s="352">
        <f>'PLANTILLA INV. PISO (0)'!U191</f>
        <v>0</v>
      </c>
      <c r="E195" s="132"/>
      <c r="F195" s="339">
        <f t="shared" si="8"/>
        <v>0</v>
      </c>
      <c r="G195" s="340">
        <f t="shared" si="9"/>
        <v>0</v>
      </c>
      <c r="H195" s="341">
        <f t="shared" si="10"/>
        <v>0</v>
      </c>
      <c r="I195" s="342">
        <f t="shared" si="11"/>
        <v>0</v>
      </c>
      <c r="K195" s="333">
        <f>'PLANTILLA INV. PISO (0)'!AA198</f>
        <v>0</v>
      </c>
    </row>
    <row r="196" spans="1:11" ht="15" customHeight="1" x14ac:dyDescent="0.3">
      <c r="A196" s="350">
        <f>'PLANTILLA INV. PISO (0)'!A192</f>
        <v>0</v>
      </c>
      <c r="B196" s="350">
        <f>'PLANTILLA INV. PISO (0)'!B192</f>
        <v>0</v>
      </c>
      <c r="C196" s="351">
        <f>'MODIFICAR CODIGOS '!E192</f>
        <v>1</v>
      </c>
      <c r="D196" s="352">
        <f>'PLANTILLA INV. PISO (0)'!U192</f>
        <v>0</v>
      </c>
      <c r="E196" s="132"/>
      <c r="F196" s="339">
        <f t="shared" si="8"/>
        <v>0</v>
      </c>
      <c r="G196" s="340">
        <f t="shared" si="9"/>
        <v>0</v>
      </c>
      <c r="H196" s="341">
        <f t="shared" si="10"/>
        <v>0</v>
      </c>
      <c r="I196" s="342">
        <f t="shared" si="11"/>
        <v>0</v>
      </c>
      <c r="K196" s="333">
        <f>'PLANTILLA INV. PISO (0)'!AA199</f>
        <v>0</v>
      </c>
    </row>
    <row r="197" spans="1:11" ht="15" customHeight="1" x14ac:dyDescent="0.3">
      <c r="A197" s="350">
        <f>'PLANTILLA INV. PISO (0)'!A193</f>
        <v>120116</v>
      </c>
      <c r="B197" s="350" t="str">
        <f>'PLANTILLA INV. PISO (0)'!B193</f>
        <v>FRESH CITRUS 188 ML (24)Sin Precio</v>
      </c>
      <c r="C197" s="351">
        <f>'MODIFICAR CODIGOS '!E193</f>
        <v>24</v>
      </c>
      <c r="D197" s="352">
        <f>'PLANTILLA INV. PISO (0)'!U193</f>
        <v>0</v>
      </c>
      <c r="E197" s="132"/>
      <c r="F197" s="339">
        <f t="shared" si="8"/>
        <v>0</v>
      </c>
      <c r="G197" s="340">
        <f t="shared" si="9"/>
        <v>0</v>
      </c>
      <c r="H197" s="341">
        <f t="shared" si="10"/>
        <v>0</v>
      </c>
      <c r="I197" s="342">
        <f t="shared" si="11"/>
        <v>0</v>
      </c>
      <c r="K197" s="333">
        <f>'PLANTILLA INV. PISO (0)'!AA200</f>
        <v>0</v>
      </c>
    </row>
    <row r="198" spans="1:11" ht="15" customHeight="1" x14ac:dyDescent="0.3">
      <c r="A198" s="350" t="str">
        <f>'PLANTILLA INV. PISO (0)'!A194</f>
        <v>CODIGO</v>
      </c>
      <c r="B198" s="350" t="str">
        <f>'PLANTILLA INV. PISO (0)'!B194</f>
        <v>PRODUCTO</v>
      </c>
      <c r="C198" s="351">
        <f>'MODIFICAR CODIGOS '!E194</f>
        <v>0</v>
      </c>
      <c r="D198" s="352" t="str">
        <f>'PLANTILLA INV. PISO (0)'!U194</f>
        <v>TOTAL</v>
      </c>
      <c r="E198" s="132"/>
      <c r="F198" s="339" t="e">
        <f t="shared" si="8"/>
        <v>#VALUE!</v>
      </c>
      <c r="G198" s="340" t="e">
        <f t="shared" si="9"/>
        <v>#VALUE!</v>
      </c>
      <c r="H198" s="341" t="e">
        <f t="shared" si="10"/>
        <v>#VALUE!</v>
      </c>
      <c r="I198" s="342" t="e">
        <f t="shared" si="11"/>
        <v>#VALUE!</v>
      </c>
      <c r="K198" s="333">
        <f>'PLANTILLA INV. PISO (0)'!AA201</f>
        <v>0</v>
      </c>
    </row>
    <row r="199" spans="1:11" ht="15" customHeight="1" x14ac:dyDescent="0.3">
      <c r="A199" s="350">
        <f>'PLANTILLA INV. PISO (0)'!A195</f>
        <v>0</v>
      </c>
      <c r="B199" s="350">
        <f>'PLANTILLA INV. PISO (0)'!B195</f>
        <v>0</v>
      </c>
      <c r="C199" s="351">
        <f>'MODIFICAR CODIGOS '!E195</f>
        <v>1</v>
      </c>
      <c r="D199" s="352">
        <f>'PLANTILLA INV. PISO (0)'!U195</f>
        <v>0</v>
      </c>
      <c r="E199" s="132"/>
      <c r="F199" s="339">
        <f t="shared" ref="F199:F262" si="12">ROUNDDOWN(D199,0)</f>
        <v>0</v>
      </c>
      <c r="G199" s="340">
        <f t="shared" ref="G199:G262" si="13">+(D199-F199)*100</f>
        <v>0</v>
      </c>
      <c r="H199" s="341">
        <f t="shared" ref="H199:H262" si="14">G199/C199</f>
        <v>0</v>
      </c>
      <c r="I199" s="342">
        <f t="shared" ref="I199:I262" si="15">F199+H199</f>
        <v>0</v>
      </c>
      <c r="K199" s="333">
        <f>'PLANTILLA INV. PISO (0)'!AA202</f>
        <v>0</v>
      </c>
    </row>
    <row r="200" spans="1:11" ht="15" customHeight="1" x14ac:dyDescent="0.3">
      <c r="A200" s="350">
        <f>'PLANTILLA INV. PISO (0)'!A196</f>
        <v>0</v>
      </c>
      <c r="B200" s="350">
        <f>'PLANTILLA INV. PISO (0)'!B196</f>
        <v>0</v>
      </c>
      <c r="C200" s="351">
        <f>'MODIFICAR CODIGOS '!E196</f>
        <v>1</v>
      </c>
      <c r="D200" s="352">
        <f>'PLANTILLA INV. PISO (0)'!U196</f>
        <v>0</v>
      </c>
      <c r="E200" s="132"/>
      <c r="F200" s="339">
        <f t="shared" si="12"/>
        <v>0</v>
      </c>
      <c r="G200" s="340">
        <f t="shared" si="13"/>
        <v>0</v>
      </c>
      <c r="H200" s="341">
        <f t="shared" si="14"/>
        <v>0</v>
      </c>
      <c r="I200" s="342">
        <f t="shared" si="15"/>
        <v>0</v>
      </c>
      <c r="K200" s="333">
        <f>'PLANTILLA INV. PISO (0)'!AA203</f>
        <v>0</v>
      </c>
    </row>
    <row r="201" spans="1:11" ht="15" customHeight="1" x14ac:dyDescent="0.3">
      <c r="A201" s="350">
        <f>'PLANTILLA INV. PISO (0)'!A197</f>
        <v>0</v>
      </c>
      <c r="B201" s="350">
        <f>'PLANTILLA INV. PISO (0)'!B197</f>
        <v>0</v>
      </c>
      <c r="C201" s="351">
        <f>'MODIFICAR CODIGOS '!E197</f>
        <v>1</v>
      </c>
      <c r="D201" s="352">
        <f>'PLANTILLA INV. PISO (0)'!U197</f>
        <v>0</v>
      </c>
      <c r="E201" s="132"/>
      <c r="F201" s="339">
        <f t="shared" si="12"/>
        <v>0</v>
      </c>
      <c r="G201" s="340">
        <f t="shared" si="13"/>
        <v>0</v>
      </c>
      <c r="H201" s="341">
        <f t="shared" si="14"/>
        <v>0</v>
      </c>
      <c r="I201" s="342">
        <f t="shared" si="15"/>
        <v>0</v>
      </c>
      <c r="K201" s="333">
        <f>'PLANTILLA INV. PISO (0)'!AA204</f>
        <v>0</v>
      </c>
    </row>
    <row r="202" spans="1:11" ht="15" customHeight="1" x14ac:dyDescent="0.3">
      <c r="A202" s="350">
        <f>'PLANTILLA INV. PISO (0)'!A198</f>
        <v>0</v>
      </c>
      <c r="B202" s="350">
        <f>'PLANTILLA INV. PISO (0)'!B198</f>
        <v>0</v>
      </c>
      <c r="C202" s="351">
        <f>'MODIFICAR CODIGOS '!E198</f>
        <v>1</v>
      </c>
      <c r="D202" s="352">
        <f>'PLANTILLA INV. PISO (0)'!U198</f>
        <v>0</v>
      </c>
      <c r="E202" s="132"/>
      <c r="F202" s="339">
        <f t="shared" si="12"/>
        <v>0</v>
      </c>
      <c r="G202" s="340">
        <f t="shared" si="13"/>
        <v>0</v>
      </c>
      <c r="H202" s="341">
        <f t="shared" si="14"/>
        <v>0</v>
      </c>
      <c r="I202" s="342">
        <f t="shared" si="15"/>
        <v>0</v>
      </c>
      <c r="K202" s="333">
        <f>'PLANTILLA INV. PISO (0)'!AA205</f>
        <v>0</v>
      </c>
    </row>
    <row r="203" spans="1:11" ht="15" customHeight="1" x14ac:dyDescent="0.3">
      <c r="A203" s="350">
        <f>'PLANTILLA INV. PISO (0)'!A199</f>
        <v>0</v>
      </c>
      <c r="B203" s="350">
        <f>'PLANTILLA INV. PISO (0)'!B199</f>
        <v>0</v>
      </c>
      <c r="C203" s="351">
        <f>'MODIFICAR CODIGOS '!E199</f>
        <v>1</v>
      </c>
      <c r="D203" s="352">
        <f>'PLANTILLA INV. PISO (0)'!U199</f>
        <v>0</v>
      </c>
      <c r="E203" s="132"/>
      <c r="F203" s="339">
        <f t="shared" si="12"/>
        <v>0</v>
      </c>
      <c r="G203" s="340">
        <f t="shared" si="13"/>
        <v>0</v>
      </c>
      <c r="H203" s="341">
        <f t="shared" si="14"/>
        <v>0</v>
      </c>
      <c r="I203" s="342">
        <f t="shared" si="15"/>
        <v>0</v>
      </c>
      <c r="K203" s="333">
        <f>'PLANTILLA INV. PISO (0)'!AA206</f>
        <v>0</v>
      </c>
    </row>
    <row r="204" spans="1:11" ht="15" customHeight="1" x14ac:dyDescent="0.3">
      <c r="A204" s="350" t="str">
        <f>'PLANTILLA INV. PISO (0)'!A200</f>
        <v>*</v>
      </c>
      <c r="B204" s="350">
        <f>'PLANTILLA INV. PISO (0)'!B200</f>
        <v>0</v>
      </c>
      <c r="C204" s="351">
        <f>'MODIFICAR CODIGOS '!E200</f>
        <v>0</v>
      </c>
      <c r="D204" s="352">
        <f>'PLANTILLA INV. PISO (0)'!U200</f>
        <v>0</v>
      </c>
      <c r="E204" s="132"/>
      <c r="F204" s="339">
        <f t="shared" si="12"/>
        <v>0</v>
      </c>
      <c r="G204" s="340">
        <f t="shared" si="13"/>
        <v>0</v>
      </c>
      <c r="H204" s="341" t="e">
        <f t="shared" si="14"/>
        <v>#DIV/0!</v>
      </c>
      <c r="I204" s="342" t="e">
        <f t="shared" si="15"/>
        <v>#DIV/0!</v>
      </c>
      <c r="K204" s="333">
        <f>'PLANTILLA INV. PISO (0)'!AA207</f>
        <v>0</v>
      </c>
    </row>
    <row r="205" spans="1:11" ht="15" customHeight="1" x14ac:dyDescent="0.3">
      <c r="A205" s="350">
        <f>'PLANTILLA INV. PISO (0)'!A201</f>
        <v>120134</v>
      </c>
      <c r="B205" s="350" t="str">
        <f>'PLANTILLA INV. PISO (0)'!B201</f>
        <v>FRUTAL MORA 188ML</v>
      </c>
      <c r="C205" s="351">
        <f>'MODIFICAR CODIGOS '!E201</f>
        <v>24</v>
      </c>
      <c r="D205" s="352">
        <f>'PLANTILLA INV. PISO (0)'!U201</f>
        <v>22.15</v>
      </c>
      <c r="E205" s="132"/>
      <c r="F205" s="339">
        <f t="shared" si="12"/>
        <v>22</v>
      </c>
      <c r="G205" s="340">
        <f t="shared" si="13"/>
        <v>14.999999999999858</v>
      </c>
      <c r="H205" s="341">
        <f t="shared" si="14"/>
        <v>0.62499999999999412</v>
      </c>
      <c r="I205" s="342">
        <f t="shared" si="15"/>
        <v>22.624999999999993</v>
      </c>
      <c r="K205" s="333">
        <f>'PLANTILLA INV. PISO (0)'!AA211</f>
        <v>0</v>
      </c>
    </row>
    <row r="206" spans="1:11" ht="15" customHeight="1" x14ac:dyDescent="0.3">
      <c r="A206" s="350">
        <f>'PLANTILLA INV. PISO (0)'!A202</f>
        <v>120137</v>
      </c>
      <c r="B206" s="350" t="str">
        <f>'PLANTILLA INV. PISO (0)'!B202</f>
        <v>DELVALLE FRUTAL MANDARINA - PIÑA</v>
      </c>
      <c r="C206" s="351">
        <f>'MODIFICAR CODIGOS '!E202</f>
        <v>24</v>
      </c>
      <c r="D206" s="352">
        <f>'PLANTILLA INV. PISO (0)'!U202</f>
        <v>0</v>
      </c>
      <c r="E206" s="132"/>
      <c r="F206" s="339">
        <f t="shared" si="12"/>
        <v>0</v>
      </c>
      <c r="G206" s="340">
        <f t="shared" si="13"/>
        <v>0</v>
      </c>
      <c r="H206" s="341">
        <f t="shared" si="14"/>
        <v>0</v>
      </c>
      <c r="I206" s="342">
        <f t="shared" si="15"/>
        <v>0</v>
      </c>
      <c r="K206" s="333">
        <f>'PLANTILLA INV. PISO (0)'!AA212</f>
        <v>0</v>
      </c>
    </row>
    <row r="207" spans="1:11" ht="15" customHeight="1" x14ac:dyDescent="0.3">
      <c r="A207" s="350">
        <f>'PLANTILLA INV. PISO (0)'!A203</f>
        <v>120136</v>
      </c>
      <c r="B207" s="350" t="str">
        <f>'PLANTILLA INV. PISO (0)'!B203</f>
        <v>DELVALLE FRUTAL MANGO</v>
      </c>
      <c r="C207" s="351">
        <f>'MODIFICAR CODIGOS '!E203</f>
        <v>24</v>
      </c>
      <c r="D207" s="352">
        <f>'PLANTILLA INV. PISO (0)'!U203</f>
        <v>12.16</v>
      </c>
      <c r="E207" s="132"/>
      <c r="F207" s="339">
        <f t="shared" si="12"/>
        <v>12</v>
      </c>
      <c r="G207" s="340">
        <f t="shared" si="13"/>
        <v>16.000000000000014</v>
      </c>
      <c r="H207" s="341">
        <f t="shared" si="14"/>
        <v>0.6666666666666673</v>
      </c>
      <c r="I207" s="342">
        <f t="shared" si="15"/>
        <v>12.666666666666668</v>
      </c>
      <c r="K207" s="333">
        <f>'PLANTILLA INV. PISO (0)'!AA213</f>
        <v>0</v>
      </c>
    </row>
    <row r="208" spans="1:11" ht="15" customHeight="1" x14ac:dyDescent="0.3">
      <c r="A208" s="350">
        <f>'PLANTILLA INV. PISO (0)'!A204</f>
        <v>120133</v>
      </c>
      <c r="B208" s="350" t="str">
        <f>'PLANTILLA INV. PISO (0)'!B204</f>
        <v>FRUTAL MANGOFRS 188 ML TETRA (24)</v>
      </c>
      <c r="C208" s="351">
        <f>'MODIFICAR CODIGOS '!E204</f>
        <v>24</v>
      </c>
      <c r="D208" s="352">
        <f>'PLANTILLA INV. PISO (0)'!U204</f>
        <v>0</v>
      </c>
      <c r="E208" s="132"/>
      <c r="F208" s="339">
        <f t="shared" si="12"/>
        <v>0</v>
      </c>
      <c r="G208" s="340">
        <f t="shared" si="13"/>
        <v>0</v>
      </c>
      <c r="H208" s="341">
        <f t="shared" si="14"/>
        <v>0</v>
      </c>
      <c r="I208" s="342">
        <f t="shared" si="15"/>
        <v>0</v>
      </c>
      <c r="K208" s="333">
        <f>'PLANTILLA INV. PISO (0)'!AA214</f>
        <v>0</v>
      </c>
    </row>
    <row r="209" spans="1:11" ht="15" customHeight="1" x14ac:dyDescent="0.3">
      <c r="A209" s="350">
        <f>'PLANTILLA INV. PISO (0)'!A205</f>
        <v>120135</v>
      </c>
      <c r="B209" s="350" t="str">
        <f>'PLANTILLA INV. PISO (0)'!B205</f>
        <v>FRUTAL SALPICON 188 ML TETRA (24)</v>
      </c>
      <c r="C209" s="351">
        <f>'MODIFICAR CODIGOS '!E205</f>
        <v>24</v>
      </c>
      <c r="D209" s="352">
        <f>'PLANTILLA INV. PISO (0)'!U205</f>
        <v>0</v>
      </c>
      <c r="E209" s="132"/>
      <c r="F209" s="339">
        <f t="shared" si="12"/>
        <v>0</v>
      </c>
      <c r="G209" s="340">
        <f t="shared" si="13"/>
        <v>0</v>
      </c>
      <c r="H209" s="341">
        <f t="shared" si="14"/>
        <v>0</v>
      </c>
      <c r="I209" s="342">
        <f t="shared" si="15"/>
        <v>0</v>
      </c>
      <c r="K209" s="333">
        <f>'PLANTILLA INV. PISO (0)'!AA215</f>
        <v>0</v>
      </c>
    </row>
    <row r="210" spans="1:11" ht="15" customHeight="1" x14ac:dyDescent="0.3">
      <c r="A210" s="350">
        <f>'PLANTILLA INV. PISO (0)'!A206</f>
        <v>0</v>
      </c>
      <c r="B210" s="350">
        <f>'PLANTILLA INV. PISO (0)'!B206</f>
        <v>0</v>
      </c>
      <c r="C210" s="351">
        <f>'MODIFICAR CODIGOS '!E206</f>
        <v>1</v>
      </c>
      <c r="D210" s="352">
        <f>'PLANTILLA INV. PISO (0)'!U206</f>
        <v>0</v>
      </c>
      <c r="E210" s="132"/>
      <c r="F210" s="339">
        <f t="shared" si="12"/>
        <v>0</v>
      </c>
      <c r="G210" s="340">
        <f t="shared" si="13"/>
        <v>0</v>
      </c>
      <c r="H210" s="341">
        <f t="shared" si="14"/>
        <v>0</v>
      </c>
      <c r="I210" s="342">
        <f t="shared" si="15"/>
        <v>0</v>
      </c>
      <c r="K210" s="333">
        <f>'PLANTILLA INV. PISO (0)'!AA216</f>
        <v>0</v>
      </c>
    </row>
    <row r="211" spans="1:11" ht="15" customHeight="1" x14ac:dyDescent="0.3">
      <c r="A211" s="350" t="str">
        <f>'PLANTILLA INV. PISO (0)'!A207</f>
        <v>*</v>
      </c>
      <c r="B211" s="350">
        <f>'PLANTILLA INV. PISO (0)'!B207</f>
        <v>0</v>
      </c>
      <c r="C211" s="351">
        <f>'MODIFICAR CODIGOS '!E207</f>
        <v>0</v>
      </c>
      <c r="D211" s="352">
        <f>'PLANTILLA INV. PISO (0)'!U207</f>
        <v>0</v>
      </c>
      <c r="E211" s="132"/>
      <c r="F211" s="339">
        <f t="shared" si="12"/>
        <v>0</v>
      </c>
      <c r="G211" s="340">
        <f t="shared" si="13"/>
        <v>0</v>
      </c>
      <c r="H211" s="341" t="e">
        <f t="shared" si="14"/>
        <v>#DIV/0!</v>
      </c>
      <c r="I211" s="342" t="e">
        <f t="shared" si="15"/>
        <v>#DIV/0!</v>
      </c>
      <c r="K211" s="333">
        <f>'PLANTILLA INV. PISO (0)'!AA217</f>
        <v>0</v>
      </c>
    </row>
    <row r="212" spans="1:11" ht="15" customHeight="1" x14ac:dyDescent="0.3">
      <c r="A212" s="350">
        <f>'PLANTILLA INV. PISO (0)'!A208</f>
        <v>120188</v>
      </c>
      <c r="B212" s="350" t="str">
        <f>'PLANTILLA INV. PISO (0)'!B208</f>
        <v>FRUTAL MANGO 1.2L PET (6)</v>
      </c>
      <c r="C212" s="351">
        <f>'MODIFICAR CODIGOS '!E208</f>
        <v>6</v>
      </c>
      <c r="D212" s="352">
        <f>'PLANTILLA INV. PISO (0)'!U208</f>
        <v>15</v>
      </c>
      <c r="E212" s="132"/>
      <c r="F212" s="339">
        <f t="shared" si="12"/>
        <v>15</v>
      </c>
      <c r="G212" s="340">
        <f t="shared" si="13"/>
        <v>0</v>
      </c>
      <c r="H212" s="341">
        <f t="shared" si="14"/>
        <v>0</v>
      </c>
      <c r="I212" s="342">
        <f t="shared" si="15"/>
        <v>15</v>
      </c>
      <c r="K212" s="333">
        <f>'PLANTILLA INV. PISO (0)'!AA218</f>
        <v>0</v>
      </c>
    </row>
    <row r="213" spans="1:11" ht="15" customHeight="1" x14ac:dyDescent="0.3">
      <c r="A213" s="350">
        <f>'PLANTILLA INV. PISO (0)'!A209</f>
        <v>120190</v>
      </c>
      <c r="B213" s="350" t="str">
        <f>'PLANTILLA INV. PISO (0)'!B209</f>
        <v>FRUTAL MANGOFRS 1.2LT PET(6)</v>
      </c>
      <c r="C213" s="351">
        <f>'MODIFICAR CODIGOS '!E209</f>
        <v>6</v>
      </c>
      <c r="D213" s="352">
        <f>'PLANTILLA INV. PISO (0)'!U209</f>
        <v>8.0299999999999994</v>
      </c>
      <c r="E213" s="132"/>
      <c r="F213" s="339">
        <f t="shared" si="12"/>
        <v>8</v>
      </c>
      <c r="G213" s="340">
        <f t="shared" si="13"/>
        <v>2.9999999999999361</v>
      </c>
      <c r="H213" s="341">
        <f t="shared" si="14"/>
        <v>0.49999999999998934</v>
      </c>
      <c r="I213" s="342">
        <f t="shared" si="15"/>
        <v>8.4999999999999893</v>
      </c>
      <c r="K213" s="333">
        <f>'PLANTILLA INV. PISO (0)'!AA219</f>
        <v>0</v>
      </c>
    </row>
    <row r="214" spans="1:11" ht="15" customHeight="1" x14ac:dyDescent="0.3">
      <c r="A214" s="350">
        <f>'PLANTILLA INV. PISO (0)'!A210</f>
        <v>120191</v>
      </c>
      <c r="B214" s="350" t="str">
        <f>'PLANTILLA INV. PISO (0)'!B210</f>
        <v>FRUTAL MORA 1.2LT PET(6)</v>
      </c>
      <c r="C214" s="351">
        <f>'MODIFICAR CODIGOS '!E210</f>
        <v>6</v>
      </c>
      <c r="D214" s="352">
        <f>'PLANTILLA INV. PISO (0)'!U210</f>
        <v>2.0499999999999998</v>
      </c>
      <c r="E214" s="132"/>
      <c r="F214" s="339">
        <f t="shared" si="12"/>
        <v>2</v>
      </c>
      <c r="G214" s="340">
        <f t="shared" si="13"/>
        <v>4.9999999999999822</v>
      </c>
      <c r="H214" s="341">
        <f t="shared" si="14"/>
        <v>0.83333333333333037</v>
      </c>
      <c r="I214" s="342">
        <f t="shared" si="15"/>
        <v>2.8333333333333304</v>
      </c>
      <c r="K214" s="333">
        <f>'PLANTILLA INV. PISO (0)'!AA220</f>
        <v>0</v>
      </c>
    </row>
    <row r="215" spans="1:11" ht="15" customHeight="1" x14ac:dyDescent="0.3">
      <c r="A215" s="350">
        <f>'PLANTILLA INV. PISO (0)'!A211</f>
        <v>0</v>
      </c>
      <c r="B215" s="350">
        <f>'PLANTILLA INV. PISO (0)'!B211</f>
        <v>0</v>
      </c>
      <c r="C215" s="351">
        <f>'MODIFICAR CODIGOS '!E211</f>
        <v>6</v>
      </c>
      <c r="D215" s="352">
        <f>'PLANTILLA INV. PISO (0)'!U211</f>
        <v>0</v>
      </c>
      <c r="E215" s="132"/>
      <c r="F215" s="339">
        <f t="shared" si="12"/>
        <v>0</v>
      </c>
      <c r="G215" s="340">
        <f t="shared" si="13"/>
        <v>0</v>
      </c>
      <c r="H215" s="341">
        <f t="shared" si="14"/>
        <v>0</v>
      </c>
      <c r="I215" s="342">
        <f t="shared" si="15"/>
        <v>0</v>
      </c>
      <c r="K215" s="333">
        <f>'PLANTILLA INV. PISO (0)'!AA221</f>
        <v>0</v>
      </c>
    </row>
    <row r="216" spans="1:11" ht="15" customHeight="1" x14ac:dyDescent="0.3">
      <c r="A216" s="350">
        <f>'PLANTILLA INV. PISO (0)'!A212</f>
        <v>0</v>
      </c>
      <c r="B216" s="350">
        <f>'PLANTILLA INV. PISO (0)'!B212</f>
        <v>0</v>
      </c>
      <c r="C216" s="351">
        <f>'MODIFICAR CODIGOS '!E212</f>
        <v>6</v>
      </c>
      <c r="D216" s="352">
        <f>'PLANTILLA INV. PISO (0)'!U212</f>
        <v>0</v>
      </c>
      <c r="E216" s="132"/>
      <c r="F216" s="339">
        <f t="shared" si="12"/>
        <v>0</v>
      </c>
      <c r="G216" s="340">
        <f t="shared" si="13"/>
        <v>0</v>
      </c>
      <c r="H216" s="341">
        <f t="shared" si="14"/>
        <v>0</v>
      </c>
      <c r="I216" s="342">
        <f t="shared" si="15"/>
        <v>0</v>
      </c>
      <c r="K216" s="333">
        <f>'PLANTILLA INV. PISO (0)'!AA222</f>
        <v>0</v>
      </c>
    </row>
    <row r="217" spans="1:11" ht="15" customHeight="1" x14ac:dyDescent="0.3">
      <c r="A217" s="350">
        <f>'PLANTILLA INV. PISO (0)'!A213</f>
        <v>0</v>
      </c>
      <c r="B217" s="350">
        <f>'PLANTILLA INV. PISO (0)'!B213</f>
        <v>0</v>
      </c>
      <c r="C217" s="351">
        <f>'MODIFICAR CODIGOS '!E213</f>
        <v>6</v>
      </c>
      <c r="D217" s="352">
        <f>'PLANTILLA INV. PISO (0)'!U213</f>
        <v>0</v>
      </c>
      <c r="E217" s="132"/>
      <c r="F217" s="339">
        <f t="shared" si="12"/>
        <v>0</v>
      </c>
      <c r="G217" s="340">
        <f t="shared" si="13"/>
        <v>0</v>
      </c>
      <c r="H217" s="341">
        <f t="shared" si="14"/>
        <v>0</v>
      </c>
      <c r="I217" s="342">
        <f t="shared" si="15"/>
        <v>0</v>
      </c>
      <c r="K217" s="333">
        <f>'PLANTILLA INV. PISO (0)'!AA223</f>
        <v>0</v>
      </c>
    </row>
    <row r="218" spans="1:11" ht="15" customHeight="1" x14ac:dyDescent="0.3">
      <c r="A218" s="350">
        <f>'PLANTILLA INV. PISO (0)'!A214</f>
        <v>0</v>
      </c>
      <c r="B218" s="350">
        <f>'PLANTILLA INV. PISO (0)'!B214</f>
        <v>0</v>
      </c>
      <c r="C218" s="351">
        <f>'MODIFICAR CODIGOS '!E214</f>
        <v>6</v>
      </c>
      <c r="D218" s="352">
        <f>'PLANTILLA INV. PISO (0)'!U214</f>
        <v>0</v>
      </c>
      <c r="E218" s="132"/>
      <c r="F218" s="339">
        <f t="shared" si="12"/>
        <v>0</v>
      </c>
      <c r="G218" s="340">
        <f t="shared" si="13"/>
        <v>0</v>
      </c>
      <c r="H218" s="341">
        <f t="shared" si="14"/>
        <v>0</v>
      </c>
      <c r="I218" s="342">
        <f t="shared" si="15"/>
        <v>0</v>
      </c>
      <c r="K218" s="333">
        <f>'PLANTILLA INV. PISO (0)'!AA224</f>
        <v>0</v>
      </c>
    </row>
    <row r="219" spans="1:11" ht="15" customHeight="1" x14ac:dyDescent="0.3">
      <c r="A219" s="350">
        <f>'PLANTILLA INV. PISO (0)'!A215</f>
        <v>0</v>
      </c>
      <c r="B219" s="350">
        <f>'PLANTILLA INV. PISO (0)'!B215</f>
        <v>0</v>
      </c>
      <c r="C219" s="351">
        <f>'MODIFICAR CODIGOS '!E215</f>
        <v>6</v>
      </c>
      <c r="D219" s="352">
        <f>'PLANTILLA INV. PISO (0)'!U215</f>
        <v>0</v>
      </c>
      <c r="E219" s="132"/>
      <c r="F219" s="339">
        <f t="shared" si="12"/>
        <v>0</v>
      </c>
      <c r="G219" s="340">
        <f t="shared" si="13"/>
        <v>0</v>
      </c>
      <c r="H219" s="341">
        <f t="shared" si="14"/>
        <v>0</v>
      </c>
      <c r="I219" s="342">
        <f t="shared" si="15"/>
        <v>0</v>
      </c>
      <c r="K219" s="333">
        <f>'PLANTILLA INV. PISO (0)'!AA225</f>
        <v>0</v>
      </c>
    </row>
    <row r="220" spans="1:11" ht="15" customHeight="1" x14ac:dyDescent="0.3">
      <c r="A220" s="350" t="str">
        <f>'PLANTILLA INV. PISO (0)'!A216</f>
        <v>*</v>
      </c>
      <c r="B220" s="350">
        <f>'PLANTILLA INV. PISO (0)'!B216</f>
        <v>0</v>
      </c>
      <c r="C220" s="351">
        <f>'MODIFICAR CODIGOS '!E216</f>
        <v>0</v>
      </c>
      <c r="D220" s="352">
        <f>'PLANTILLA INV. PISO (0)'!U216</f>
        <v>0</v>
      </c>
      <c r="E220" s="132"/>
      <c r="F220" s="339">
        <f t="shared" si="12"/>
        <v>0</v>
      </c>
      <c r="G220" s="340">
        <f t="shared" si="13"/>
        <v>0</v>
      </c>
      <c r="H220" s="341" t="e">
        <f t="shared" si="14"/>
        <v>#DIV/0!</v>
      </c>
      <c r="I220" s="342" t="e">
        <f t="shared" si="15"/>
        <v>#DIV/0!</v>
      </c>
      <c r="K220" s="333">
        <f>'PLANTILLA INV. PISO (0)'!AA226</f>
        <v>0</v>
      </c>
    </row>
    <row r="221" spans="1:11" ht="15" customHeight="1" x14ac:dyDescent="0.3">
      <c r="A221" s="350">
        <f>'PLANTILLA INV. PISO (0)'!A217</f>
        <v>0</v>
      </c>
      <c r="B221" s="350">
        <f>'PLANTILLA INV. PISO (0)'!B217</f>
        <v>0</v>
      </c>
      <c r="C221" s="351">
        <f>'MODIFICAR CODIGOS '!E217</f>
        <v>12</v>
      </c>
      <c r="D221" s="352">
        <f>'PLANTILLA INV. PISO (0)'!U217</f>
        <v>0</v>
      </c>
      <c r="E221" s="132"/>
      <c r="F221" s="339">
        <f t="shared" si="12"/>
        <v>0</v>
      </c>
      <c r="G221" s="340">
        <f t="shared" si="13"/>
        <v>0</v>
      </c>
      <c r="H221" s="341">
        <f t="shared" si="14"/>
        <v>0</v>
      </c>
      <c r="I221" s="342">
        <f t="shared" si="15"/>
        <v>0</v>
      </c>
      <c r="K221" s="333">
        <f>'PLANTILLA INV. PISO (0)'!AA227</f>
        <v>0</v>
      </c>
    </row>
    <row r="222" spans="1:11" ht="15" customHeight="1" x14ac:dyDescent="0.3">
      <c r="A222" s="350">
        <f>'PLANTILLA INV. PISO (0)'!A218</f>
        <v>135766</v>
      </c>
      <c r="B222" s="350" t="str">
        <f>'PLANTILLA INV. PISO (0)'!B218</f>
        <v>COCA-COLA ZERO 10 OZ  (12)  (Ch</v>
      </c>
      <c r="C222" s="351">
        <f>'MODIFICAR CODIGOS '!E218</f>
        <v>12</v>
      </c>
      <c r="D222" s="352">
        <f>'PLANTILLA INV. PISO (0)'!U218</f>
        <v>2.06</v>
      </c>
      <c r="E222" s="132"/>
      <c r="F222" s="339">
        <f t="shared" si="12"/>
        <v>2</v>
      </c>
      <c r="G222" s="340">
        <f t="shared" si="13"/>
        <v>6.0000000000000053</v>
      </c>
      <c r="H222" s="341">
        <f t="shared" si="14"/>
        <v>0.50000000000000044</v>
      </c>
      <c r="I222" s="342">
        <f t="shared" si="15"/>
        <v>2.5000000000000004</v>
      </c>
      <c r="K222" s="333">
        <f>'PLANTILLA INV. PISO (0)'!AA228</f>
        <v>0</v>
      </c>
    </row>
    <row r="223" spans="1:11" ht="15" customHeight="1" x14ac:dyDescent="0.3">
      <c r="A223" s="350">
        <f>'PLANTILLA INV. PISO (0)'!A219</f>
        <v>0</v>
      </c>
      <c r="B223" s="350">
        <f>'PLANTILLA INV. PISO (0)'!B219</f>
        <v>0</v>
      </c>
      <c r="C223" s="351">
        <f>'MODIFICAR CODIGOS '!E219</f>
        <v>1</v>
      </c>
      <c r="D223" s="352">
        <f>'PLANTILLA INV. PISO (0)'!U219</f>
        <v>0</v>
      </c>
      <c r="E223" s="132"/>
      <c r="F223" s="339">
        <f t="shared" si="12"/>
        <v>0</v>
      </c>
      <c r="G223" s="340">
        <f t="shared" si="13"/>
        <v>0</v>
      </c>
      <c r="H223" s="341">
        <f t="shared" si="14"/>
        <v>0</v>
      </c>
      <c r="I223" s="342">
        <f t="shared" si="15"/>
        <v>0</v>
      </c>
      <c r="K223" s="333">
        <f>'PLANTILLA INV. PISO (0)'!AA229</f>
        <v>0</v>
      </c>
    </row>
    <row r="224" spans="1:11" ht="15" customHeight="1" x14ac:dyDescent="0.3">
      <c r="A224" s="350">
        <f>'PLANTILLA INV. PISO (0)'!A220</f>
        <v>56498</v>
      </c>
      <c r="B224" s="350" t="str">
        <f>'PLANTILLA INV. PISO (0)'!B220</f>
        <v>SCHWEPPES SODA 10OZ VNR(12)NvaB</v>
      </c>
      <c r="C224" s="351">
        <f>'MODIFICAR CODIGOS '!E220</f>
        <v>12</v>
      </c>
      <c r="D224" s="352">
        <f>'PLANTILLA INV. PISO (0)'!U220</f>
        <v>5.09</v>
      </c>
      <c r="E224" s="132"/>
      <c r="F224" s="339">
        <f t="shared" si="12"/>
        <v>5</v>
      </c>
      <c r="G224" s="340">
        <f t="shared" si="13"/>
        <v>8.9999999999999858</v>
      </c>
      <c r="H224" s="341">
        <f t="shared" si="14"/>
        <v>0.74999999999999878</v>
      </c>
      <c r="I224" s="342">
        <f t="shared" si="15"/>
        <v>5.7499999999999991</v>
      </c>
      <c r="K224" s="333">
        <f>'PLANTILLA INV. PISO (0)'!AA230</f>
        <v>0</v>
      </c>
    </row>
    <row r="225" spans="1:11" ht="15" customHeight="1" x14ac:dyDescent="0.3">
      <c r="A225" s="350">
        <f>'PLANTILLA INV. PISO (0)'!A221</f>
        <v>56490</v>
      </c>
      <c r="B225" s="350" t="str">
        <f>'PLANTILLA INV. PISO (0)'!B221</f>
        <v>SCHWEPPES TONICA 10OZ VNR (12)</v>
      </c>
      <c r="C225" s="351">
        <f>'MODIFICAR CODIGOS '!E221</f>
        <v>12</v>
      </c>
      <c r="D225" s="352">
        <f>'PLANTILLA INV. PISO (0)'!U221</f>
        <v>0.06</v>
      </c>
      <c r="E225" s="132"/>
      <c r="F225" s="339">
        <f t="shared" si="12"/>
        <v>0</v>
      </c>
      <c r="G225" s="340">
        <f t="shared" si="13"/>
        <v>6</v>
      </c>
      <c r="H225" s="341">
        <f t="shared" si="14"/>
        <v>0.5</v>
      </c>
      <c r="I225" s="342">
        <f t="shared" si="15"/>
        <v>0.5</v>
      </c>
      <c r="K225" s="333">
        <f>'PLANTILLA INV. PISO (0)'!AA231</f>
        <v>0</v>
      </c>
    </row>
    <row r="226" spans="1:11" ht="15" customHeight="1" x14ac:dyDescent="0.3">
      <c r="A226" s="350">
        <f>'PLANTILLA INV. PISO (0)'!A222</f>
        <v>0</v>
      </c>
      <c r="B226" s="350">
        <f>'PLANTILLA INV. PISO (0)'!B222</f>
        <v>0</v>
      </c>
      <c r="C226" s="351">
        <f>'MODIFICAR CODIGOS '!E222</f>
        <v>1</v>
      </c>
      <c r="D226" s="352">
        <f>'PLANTILLA INV. PISO (0)'!U222</f>
        <v>0</v>
      </c>
      <c r="E226" s="132"/>
      <c r="F226" s="339">
        <f t="shared" si="12"/>
        <v>0</v>
      </c>
      <c r="G226" s="340">
        <f t="shared" si="13"/>
        <v>0</v>
      </c>
      <c r="H226" s="341">
        <f t="shared" si="14"/>
        <v>0</v>
      </c>
      <c r="I226" s="342">
        <f t="shared" si="15"/>
        <v>0</v>
      </c>
      <c r="K226" s="333">
        <f>'PLANTILLA INV. PISO (0)'!AA232</f>
        <v>0</v>
      </c>
    </row>
    <row r="227" spans="1:11" ht="15" customHeight="1" x14ac:dyDescent="0.3">
      <c r="A227" s="350">
        <f>'PLANTILLA INV. PISO (0)'!A223</f>
        <v>160192</v>
      </c>
      <c r="B227" s="350" t="str">
        <f>'PLANTILLA INV. PISO (0)'!B223</f>
        <v xml:space="preserve">COCA COLA 10 OZ VNR (12) SPMKS </v>
      </c>
      <c r="C227" s="351">
        <f>'MODIFICAR CODIGOS '!E223</f>
        <v>12</v>
      </c>
      <c r="D227" s="352">
        <f>'PLANTILLA INV. PISO (0)'!U223</f>
        <v>8</v>
      </c>
      <c r="E227" s="132"/>
      <c r="F227" s="339">
        <f t="shared" si="12"/>
        <v>8</v>
      </c>
      <c r="G227" s="340">
        <f t="shared" si="13"/>
        <v>0</v>
      </c>
      <c r="H227" s="341">
        <f t="shared" si="14"/>
        <v>0</v>
      </c>
      <c r="I227" s="342">
        <f t="shared" si="15"/>
        <v>8</v>
      </c>
      <c r="K227" s="333">
        <f>'PLANTILLA INV. PISO (0)'!AA233</f>
        <v>0</v>
      </c>
    </row>
    <row r="228" spans="1:11" ht="15" customHeight="1" x14ac:dyDescent="0.3">
      <c r="A228" s="350" t="str">
        <f>'PLANTILLA INV. PISO (0)'!A224</f>
        <v>*</v>
      </c>
      <c r="B228" s="350">
        <f>'PLANTILLA INV. PISO (0)'!B224</f>
        <v>0</v>
      </c>
      <c r="C228" s="351">
        <f>'MODIFICAR CODIGOS '!E224</f>
        <v>0</v>
      </c>
      <c r="D228" s="352">
        <f>'PLANTILLA INV. PISO (0)'!U224</f>
        <v>0</v>
      </c>
      <c r="E228" s="132"/>
      <c r="F228" s="339">
        <f t="shared" si="12"/>
        <v>0</v>
      </c>
      <c r="G228" s="340">
        <f t="shared" si="13"/>
        <v>0</v>
      </c>
      <c r="H228" s="341" t="e">
        <f t="shared" si="14"/>
        <v>#DIV/0!</v>
      </c>
      <c r="I228" s="342" t="e">
        <f t="shared" si="15"/>
        <v>#DIV/0!</v>
      </c>
      <c r="K228" s="333">
        <f>'PLANTILLA INV. PISO (0)'!AA234</f>
        <v>0</v>
      </c>
    </row>
    <row r="229" spans="1:11" ht="15" customHeight="1" x14ac:dyDescent="0.3">
      <c r="A229" s="350">
        <f>'PLANTILLA INV. PISO (0)'!A225</f>
        <v>160121</v>
      </c>
      <c r="B229" s="350" t="str">
        <f>'PLANTILLA INV. PISO (0)'!B225</f>
        <v>POWERADE ION4 FT 500ML PET(6)</v>
      </c>
      <c r="C229" s="351">
        <f>'MODIFICAR CODIGOS '!E225</f>
        <v>6</v>
      </c>
      <c r="D229" s="352">
        <f>'PLANTILLA INV. PISO (0)'!U225</f>
        <v>462.01</v>
      </c>
      <c r="E229" s="132"/>
      <c r="F229" s="339">
        <f t="shared" si="12"/>
        <v>462</v>
      </c>
      <c r="G229" s="340">
        <f t="shared" si="13"/>
        <v>0.99999999999909051</v>
      </c>
      <c r="H229" s="341">
        <f t="shared" si="14"/>
        <v>0.16666666666651508</v>
      </c>
      <c r="I229" s="342">
        <f t="shared" si="15"/>
        <v>462.16666666666652</v>
      </c>
      <c r="K229" s="333">
        <f>'PLANTILLA INV. PISO (0)'!AA235</f>
        <v>0</v>
      </c>
    </row>
    <row r="230" spans="1:11" ht="15" customHeight="1" x14ac:dyDescent="0.3">
      <c r="A230" s="350">
        <f>'PLANTILLA INV. PISO (0)'!A226</f>
        <v>160122</v>
      </c>
      <c r="B230" s="350" t="str">
        <f>'PLANTILLA INV. PISO (0)'!B226</f>
        <v>POWERADE ION4 MB 500ML PET(6)</v>
      </c>
      <c r="C230" s="351">
        <f>'MODIFICAR CODIGOS '!E226</f>
        <v>6</v>
      </c>
      <c r="D230" s="352">
        <f>'PLANTILLA INV. PISO (0)'!U226</f>
        <v>154</v>
      </c>
      <c r="E230" s="132"/>
      <c r="F230" s="339">
        <f t="shared" si="12"/>
        <v>154</v>
      </c>
      <c r="G230" s="340">
        <f t="shared" si="13"/>
        <v>0</v>
      </c>
      <c r="H230" s="341">
        <f t="shared" si="14"/>
        <v>0</v>
      </c>
      <c r="I230" s="342">
        <f t="shared" si="15"/>
        <v>154</v>
      </c>
      <c r="K230" s="333">
        <f>'PLANTILLA INV. PISO (0)'!AA236</f>
        <v>0</v>
      </c>
    </row>
    <row r="231" spans="1:11" ht="15" customHeight="1" x14ac:dyDescent="0.3">
      <c r="A231" s="350">
        <f>'PLANTILLA INV. PISO (0)'!A227</f>
        <v>0</v>
      </c>
      <c r="B231" s="350">
        <f>'PLANTILLA INV. PISO (0)'!B227</f>
        <v>0</v>
      </c>
      <c r="C231" s="351">
        <f>'MODIFICAR CODIGOS '!E227</f>
        <v>1</v>
      </c>
      <c r="D231" s="352">
        <f>'PLANTILLA INV. PISO (0)'!U227</f>
        <v>0</v>
      </c>
      <c r="E231" s="132"/>
      <c r="F231" s="339">
        <f t="shared" si="12"/>
        <v>0</v>
      </c>
      <c r="G231" s="340">
        <f t="shared" si="13"/>
        <v>0</v>
      </c>
      <c r="H231" s="341">
        <f t="shared" si="14"/>
        <v>0</v>
      </c>
      <c r="I231" s="342">
        <f t="shared" si="15"/>
        <v>0</v>
      </c>
      <c r="K231" s="333">
        <f>'PLANTILLA INV. PISO (0)'!AA237</f>
        <v>0</v>
      </c>
    </row>
    <row r="232" spans="1:11" ht="15" customHeight="1" x14ac:dyDescent="0.3">
      <c r="A232" s="350" t="str">
        <f>'PLANTILLA INV. PISO (0)'!A228</f>
        <v>*</v>
      </c>
      <c r="B232" s="350">
        <f>'PLANTILLA INV. PISO (0)'!B228</f>
        <v>0</v>
      </c>
      <c r="C232" s="351">
        <f>'MODIFICAR CODIGOS '!E228</f>
        <v>0</v>
      </c>
      <c r="D232" s="352">
        <f>'PLANTILLA INV. PISO (0)'!U228</f>
        <v>0</v>
      </c>
      <c r="E232" s="132"/>
      <c r="F232" s="339">
        <f t="shared" si="12"/>
        <v>0</v>
      </c>
      <c r="G232" s="340">
        <f t="shared" si="13"/>
        <v>0</v>
      </c>
      <c r="H232" s="341" t="e">
        <f t="shared" si="14"/>
        <v>#DIV/0!</v>
      </c>
      <c r="I232" s="342" t="e">
        <f t="shared" si="15"/>
        <v>#DIV/0!</v>
      </c>
      <c r="K232" s="333">
        <f>'PLANTILLA INV. PISO (0)'!AA238</f>
        <v>0</v>
      </c>
    </row>
    <row r="233" spans="1:11" ht="15" customHeight="1" x14ac:dyDescent="0.3">
      <c r="A233" s="350">
        <f>'PLANTILLA INV. PISO (0)'!A229</f>
        <v>160054</v>
      </c>
      <c r="B233" s="350" t="str">
        <f>'PLANTILLA INV. PISO (0)'!B229</f>
        <v>COCA-COLA 17,7LT BIB</v>
      </c>
      <c r="C233" s="351">
        <f>'MODIFICAR CODIGOS '!E229</f>
        <v>1</v>
      </c>
      <c r="D233" s="352">
        <f>'PLANTILLA INV. PISO (0)'!U229</f>
        <v>0</v>
      </c>
      <c r="E233" s="132"/>
      <c r="F233" s="339">
        <f t="shared" si="12"/>
        <v>0</v>
      </c>
      <c r="G233" s="340">
        <f t="shared" si="13"/>
        <v>0</v>
      </c>
      <c r="H233" s="341">
        <f t="shared" si="14"/>
        <v>0</v>
      </c>
      <c r="I233" s="342">
        <f t="shared" si="15"/>
        <v>0</v>
      </c>
      <c r="K233" s="333">
        <f>'PLANTILLA INV. PISO (0)'!AA239</f>
        <v>0</v>
      </c>
    </row>
    <row r="234" spans="1:11" ht="15" customHeight="1" x14ac:dyDescent="0.3">
      <c r="A234" s="350">
        <f>'PLANTILLA INV. PISO (0)'!A230</f>
        <v>135762</v>
      </c>
      <c r="B234" s="350" t="str">
        <f>'PLANTILLA INV. PISO (0)'!B230</f>
        <v>COCA COLA ZERO 5 LT BIB</v>
      </c>
      <c r="C234" s="351">
        <f>'MODIFICAR CODIGOS '!E230</f>
        <v>1</v>
      </c>
      <c r="D234" s="352">
        <f>'PLANTILLA INV. PISO (0)'!U230</f>
        <v>0</v>
      </c>
      <c r="E234" s="132"/>
      <c r="F234" s="339">
        <f t="shared" si="12"/>
        <v>0</v>
      </c>
      <c r="G234" s="340">
        <f t="shared" si="13"/>
        <v>0</v>
      </c>
      <c r="H234" s="341">
        <f t="shared" si="14"/>
        <v>0</v>
      </c>
      <c r="I234" s="342">
        <f t="shared" si="15"/>
        <v>0</v>
      </c>
      <c r="K234" s="333">
        <f>'PLANTILLA INV. PISO (0)'!AA240</f>
        <v>0</v>
      </c>
    </row>
    <row r="235" spans="1:11" ht="15" customHeight="1" x14ac:dyDescent="0.3">
      <c r="A235" s="350">
        <f>'PLANTILLA INV. PISO (0)'!A231</f>
        <v>160063</v>
      </c>
      <c r="B235" s="350" t="str">
        <f>'PLANTILLA INV. PISO (0)'!B231</f>
        <v>QUATRO TJ 5LT BIB</v>
      </c>
      <c r="C235" s="351">
        <f>'MODIFICAR CODIGOS '!E231</f>
        <v>1</v>
      </c>
      <c r="D235" s="352">
        <f>'PLANTILLA INV. PISO (0)'!U231</f>
        <v>0</v>
      </c>
      <c r="E235" s="132"/>
      <c r="F235" s="339">
        <f t="shared" si="12"/>
        <v>0</v>
      </c>
      <c r="G235" s="340">
        <f t="shared" si="13"/>
        <v>0</v>
      </c>
      <c r="H235" s="341">
        <f t="shared" si="14"/>
        <v>0</v>
      </c>
      <c r="I235" s="342">
        <f t="shared" si="15"/>
        <v>0</v>
      </c>
      <c r="K235" s="333">
        <f>'PLANTILLA INV. PISO (0)'!AA241</f>
        <v>0</v>
      </c>
    </row>
    <row r="236" spans="1:11" ht="15" customHeight="1" x14ac:dyDescent="0.3">
      <c r="A236" s="350">
        <f>'PLANTILLA INV. PISO (0)'!A232</f>
        <v>160014</v>
      </c>
      <c r="B236" s="350" t="str">
        <f>'PLANTILLA INV. PISO (0)'!B232</f>
        <v>SPRITE LL 5LT BIB</v>
      </c>
      <c r="C236" s="351">
        <f>'MODIFICAR CODIGOS '!E232</f>
        <v>1</v>
      </c>
      <c r="D236" s="352">
        <f>'PLANTILLA INV. PISO (0)'!U232</f>
        <v>7</v>
      </c>
      <c r="E236" s="132"/>
      <c r="F236" s="339">
        <f t="shared" si="12"/>
        <v>7</v>
      </c>
      <c r="G236" s="340">
        <f t="shared" si="13"/>
        <v>0</v>
      </c>
      <c r="H236" s="341">
        <f t="shared" si="14"/>
        <v>0</v>
      </c>
      <c r="I236" s="342">
        <f t="shared" si="15"/>
        <v>7</v>
      </c>
      <c r="K236" s="333">
        <f>'PLANTILLA INV. PISO (0)'!AA242</f>
        <v>0</v>
      </c>
    </row>
    <row r="237" spans="1:11" ht="15" customHeight="1" x14ac:dyDescent="0.3">
      <c r="A237" s="350">
        <f>'PLANTILLA INV. PISO (0)'!A233</f>
        <v>0</v>
      </c>
      <c r="B237" s="350">
        <f>'PLANTILLA INV. PISO (0)'!B233</f>
        <v>0</v>
      </c>
      <c r="C237" s="351">
        <f>'MODIFICAR CODIGOS '!E233</f>
        <v>1</v>
      </c>
      <c r="D237" s="352">
        <f>'PLANTILLA INV. PISO (0)'!U233</f>
        <v>0</v>
      </c>
      <c r="E237" s="132"/>
      <c r="F237" s="339">
        <f t="shared" si="12"/>
        <v>0</v>
      </c>
      <c r="G237" s="340">
        <f t="shared" si="13"/>
        <v>0</v>
      </c>
      <c r="H237" s="341">
        <f t="shared" si="14"/>
        <v>0</v>
      </c>
      <c r="I237" s="342">
        <f t="shared" si="15"/>
        <v>0</v>
      </c>
      <c r="K237" s="333">
        <f>'PLANTILLA INV. PISO (0)'!AA243</f>
        <v>0</v>
      </c>
    </row>
    <row r="238" spans="1:11" ht="15" customHeight="1" x14ac:dyDescent="0.3">
      <c r="A238" s="350">
        <f>'PLANTILLA INV. PISO (0)'!A234</f>
        <v>136204</v>
      </c>
      <c r="B238" s="350" t="str">
        <f>'PLANTILLA INV. PISO (0)'!B234</f>
        <v>GAS CARBONICO</v>
      </c>
      <c r="C238" s="351">
        <f>'MODIFICAR CODIGOS '!E234</f>
        <v>1</v>
      </c>
      <c r="D238" s="352">
        <f>'PLANTILLA INV. PISO (0)'!U234</f>
        <v>7</v>
      </c>
      <c r="E238" s="132"/>
      <c r="F238" s="339">
        <f t="shared" si="12"/>
        <v>7</v>
      </c>
      <c r="G238" s="340">
        <f t="shared" si="13"/>
        <v>0</v>
      </c>
      <c r="H238" s="341">
        <f t="shared" si="14"/>
        <v>0</v>
      </c>
      <c r="I238" s="342">
        <f t="shared" si="15"/>
        <v>7</v>
      </c>
      <c r="K238" s="333">
        <f>'PLANTILLA INV. PISO (0)'!AA244</f>
        <v>0</v>
      </c>
    </row>
    <row r="239" spans="1:11" ht="15" customHeight="1" x14ac:dyDescent="0.3">
      <c r="A239" s="350" t="str">
        <f>'PLANTILLA INV. PISO (0)'!A235</f>
        <v>*</v>
      </c>
      <c r="B239" s="350">
        <f>'PLANTILLA INV. PISO (0)'!B235</f>
        <v>0</v>
      </c>
      <c r="C239" s="351">
        <f>'MODIFICAR CODIGOS '!E235</f>
        <v>0</v>
      </c>
      <c r="D239" s="352">
        <f>'PLANTILLA INV. PISO (0)'!U235</f>
        <v>0</v>
      </c>
      <c r="E239" s="132"/>
      <c r="F239" s="339">
        <f t="shared" si="12"/>
        <v>0</v>
      </c>
      <c r="G239" s="340">
        <f t="shared" si="13"/>
        <v>0</v>
      </c>
      <c r="H239" s="341" t="e">
        <f t="shared" si="14"/>
        <v>#DIV/0!</v>
      </c>
      <c r="I239" s="342" t="e">
        <f t="shared" si="15"/>
        <v>#DIV/0!</v>
      </c>
      <c r="K239" s="333">
        <f>'PLANTILLA INV. PISO (0)'!AA245</f>
        <v>0</v>
      </c>
    </row>
    <row r="240" spans="1:11" ht="15" customHeight="1" x14ac:dyDescent="0.3">
      <c r="A240" s="350">
        <f>'PLANTILLA INV. PISO (0)'!A236</f>
        <v>92764</v>
      </c>
      <c r="B240" s="350" t="str">
        <f>'PLANTILLA INV. PISO (0)'!B236</f>
        <v>MANANTIAL SIN GAS 500 ML</v>
      </c>
      <c r="C240" s="351">
        <f>'MODIFICAR CODIGOS '!E236</f>
        <v>12</v>
      </c>
      <c r="D240" s="352">
        <f>'PLANTILLA INV. PISO (0)'!U236</f>
        <v>48.09</v>
      </c>
      <c r="E240" s="132"/>
      <c r="F240" s="339">
        <f t="shared" si="12"/>
        <v>48</v>
      </c>
      <c r="G240" s="340">
        <f t="shared" si="13"/>
        <v>9.0000000000003411</v>
      </c>
      <c r="H240" s="341">
        <f t="shared" si="14"/>
        <v>0.75000000000002842</v>
      </c>
      <c r="I240" s="342">
        <f t="shared" si="15"/>
        <v>48.750000000000028</v>
      </c>
      <c r="K240" s="333">
        <f>'PLANTILLA INV. PISO (0)'!AA246</f>
        <v>0</v>
      </c>
    </row>
    <row r="241" spans="1:11" ht="15" customHeight="1" x14ac:dyDescent="0.3">
      <c r="A241" s="350">
        <f>'PLANTILLA INV. PISO (0)'!A237</f>
        <v>0</v>
      </c>
      <c r="B241" s="350">
        <f>'PLANTILLA INV. PISO (0)'!B237</f>
        <v>0</v>
      </c>
      <c r="C241" s="351">
        <f>'MODIFICAR CODIGOS '!E237</f>
        <v>12</v>
      </c>
      <c r="D241" s="352">
        <f>'PLANTILLA INV. PISO (0)'!U237</f>
        <v>0</v>
      </c>
      <c r="E241" s="132"/>
      <c r="F241" s="339">
        <f t="shared" si="12"/>
        <v>0</v>
      </c>
      <c r="G241" s="340">
        <f t="shared" si="13"/>
        <v>0</v>
      </c>
      <c r="H241" s="341">
        <f t="shared" si="14"/>
        <v>0</v>
      </c>
      <c r="I241" s="342">
        <f t="shared" si="15"/>
        <v>0</v>
      </c>
      <c r="K241" s="333">
        <f>'PLANTILLA INV. PISO (0)'!AA247</f>
        <v>0</v>
      </c>
    </row>
    <row r="242" spans="1:11" ht="15" customHeight="1" x14ac:dyDescent="0.3">
      <c r="A242" s="350">
        <f>'PLANTILLA INV. PISO (0)'!A238</f>
        <v>160240</v>
      </c>
      <c r="B242" s="350" t="str">
        <f>'PLANTILLA INV. PISO (0)'!B238</f>
        <v>MANANTIAL GAS 600 ML (24)</v>
      </c>
      <c r="C242" s="351">
        <f>'MODIFICAR CODIGOS '!E238</f>
        <v>12</v>
      </c>
      <c r="D242" s="352">
        <f>'PLANTILLA INV. PISO (0)'!U238</f>
        <v>0.06</v>
      </c>
      <c r="E242" s="132"/>
      <c r="F242" s="339">
        <f t="shared" si="12"/>
        <v>0</v>
      </c>
      <c r="G242" s="340">
        <f t="shared" si="13"/>
        <v>6</v>
      </c>
      <c r="H242" s="341">
        <f t="shared" si="14"/>
        <v>0.5</v>
      </c>
      <c r="I242" s="342">
        <f t="shared" si="15"/>
        <v>0.5</v>
      </c>
      <c r="K242" s="333">
        <f>'PLANTILLA INV. PISO (0)'!AA248</f>
        <v>0</v>
      </c>
    </row>
    <row r="243" spans="1:11" ht="15" customHeight="1" x14ac:dyDescent="0.3">
      <c r="A243" s="350">
        <f>'PLANTILLA INV. PISO (0)'!A239</f>
        <v>160241</v>
      </c>
      <c r="B243" s="350" t="str">
        <f>'PLANTILLA INV. PISO (0)'!B239</f>
        <v>MANANTIAL 600 ML (12)</v>
      </c>
      <c r="C243" s="351">
        <f>'MODIFICAR CODIGOS '!E239</f>
        <v>12</v>
      </c>
      <c r="D243" s="352">
        <f>'PLANTILLA INV. PISO (0)'!U239</f>
        <v>113.04</v>
      </c>
      <c r="E243" s="132"/>
      <c r="F243" s="339">
        <f t="shared" si="12"/>
        <v>113</v>
      </c>
      <c r="G243" s="340">
        <f t="shared" si="13"/>
        <v>4.0000000000006253</v>
      </c>
      <c r="H243" s="341">
        <f t="shared" si="14"/>
        <v>0.33333333333338544</v>
      </c>
      <c r="I243" s="342">
        <f t="shared" si="15"/>
        <v>113.33333333333339</v>
      </c>
      <c r="K243" s="333">
        <f>'PLANTILLA INV. PISO (0)'!AA249</f>
        <v>0</v>
      </c>
    </row>
    <row r="244" spans="1:11" ht="15" customHeight="1" x14ac:dyDescent="0.3">
      <c r="A244" s="350">
        <f>'PLANTILLA INV. PISO (0)'!A240</f>
        <v>160060</v>
      </c>
      <c r="B244" s="350" t="str">
        <f>'PLANTILLA INV. PISO (0)'!B240</f>
        <v>MANANTIAL 1,5 PET (9)</v>
      </c>
      <c r="C244" s="351">
        <f>'MODIFICAR CODIGOS '!E240</f>
        <v>9</v>
      </c>
      <c r="D244" s="352">
        <f>'PLANTILLA INV. PISO (0)'!U240</f>
        <v>0</v>
      </c>
      <c r="E244" s="132"/>
      <c r="F244" s="339">
        <f t="shared" si="12"/>
        <v>0</v>
      </c>
      <c r="G244" s="340">
        <f t="shared" si="13"/>
        <v>0</v>
      </c>
      <c r="H244" s="341">
        <f t="shared" si="14"/>
        <v>0</v>
      </c>
      <c r="I244" s="342">
        <f t="shared" si="15"/>
        <v>0</v>
      </c>
      <c r="K244" s="333" t="str">
        <f>'PLANTILLA INV. PISO (0)'!AA250</f>
        <v>FECHA TPM</v>
      </c>
    </row>
    <row r="245" spans="1:11" ht="15" customHeight="1" x14ac:dyDescent="0.3">
      <c r="A245" s="350" t="str">
        <f>'PLANTILLA INV. PISO (0)'!A241</f>
        <v>*</v>
      </c>
      <c r="B245" s="350">
        <f>'PLANTILLA INV. PISO (0)'!B241</f>
        <v>0</v>
      </c>
      <c r="C245" s="351">
        <f>'MODIFICAR CODIGOS '!E241</f>
        <v>0</v>
      </c>
      <c r="D245" s="352">
        <f>'PLANTILLA INV. PISO (0)'!U241</f>
        <v>0</v>
      </c>
      <c r="E245" s="132"/>
      <c r="F245" s="339">
        <f t="shared" si="12"/>
        <v>0</v>
      </c>
      <c r="G245" s="340">
        <f t="shared" si="13"/>
        <v>0</v>
      </c>
      <c r="H245" s="341" t="e">
        <f t="shared" si="14"/>
        <v>#DIV/0!</v>
      </c>
      <c r="I245" s="342" t="e">
        <f t="shared" si="15"/>
        <v>#DIV/0!</v>
      </c>
      <c r="K245" s="333">
        <f>'PLANTILLA INV. PISO (0)'!AA251</f>
        <v>0</v>
      </c>
    </row>
    <row r="246" spans="1:11" ht="15" customHeight="1" x14ac:dyDescent="0.3">
      <c r="A246" s="350">
        <f>'PLANTILLA INV. PISO (0)'!A242</f>
        <v>160168</v>
      </c>
      <c r="B246" s="350" t="str">
        <f>'PLANTILLA INV. PISO (0)'!B242</f>
        <v>AGUA BRISA PET 280 ML (24)</v>
      </c>
      <c r="C246" s="351">
        <f>'MODIFICAR CODIGOS '!E242</f>
        <v>24</v>
      </c>
      <c r="D246" s="352">
        <f>'PLANTILLA INV. PISO (0)'!U242</f>
        <v>87.16</v>
      </c>
      <c r="E246" s="132"/>
      <c r="F246" s="339">
        <f t="shared" si="12"/>
        <v>87</v>
      </c>
      <c r="G246" s="340">
        <f t="shared" si="13"/>
        <v>15.999999999999659</v>
      </c>
      <c r="H246" s="341">
        <f t="shared" si="14"/>
        <v>0.66666666666665242</v>
      </c>
      <c r="I246" s="342">
        <f t="shared" si="15"/>
        <v>87.666666666666657</v>
      </c>
      <c r="K246" s="333">
        <f>'PLANTILLA INV. PISO (0)'!AA252</f>
        <v>0</v>
      </c>
    </row>
    <row r="247" spans="1:11" ht="15" customHeight="1" x14ac:dyDescent="0.3">
      <c r="A247" s="350">
        <f>'PLANTILLA INV. PISO (0)'!A243</f>
        <v>0</v>
      </c>
      <c r="B247" s="350">
        <f>'PLANTILLA INV. PISO (0)'!B243</f>
        <v>0</v>
      </c>
      <c r="C247" s="351">
        <f>'MODIFICAR CODIGOS '!E243</f>
        <v>24</v>
      </c>
      <c r="D247" s="352">
        <f>'PLANTILLA INV. PISO (0)'!U243</f>
        <v>0</v>
      </c>
      <c r="E247" s="132"/>
      <c r="F247" s="339">
        <f t="shared" si="12"/>
        <v>0</v>
      </c>
      <c r="G247" s="340">
        <f t="shared" si="13"/>
        <v>0</v>
      </c>
      <c r="H247" s="341">
        <f t="shared" si="14"/>
        <v>0</v>
      </c>
      <c r="I247" s="342">
        <f t="shared" si="15"/>
        <v>0</v>
      </c>
      <c r="K247" s="333">
        <f>'PLANTILLA INV. PISO (0)'!AA253</f>
        <v>0</v>
      </c>
    </row>
    <row r="248" spans="1:11" ht="15" customHeight="1" x14ac:dyDescent="0.3">
      <c r="A248" s="350">
        <f>'PLANTILLA INV. PISO (0)'!A244</f>
        <v>160170</v>
      </c>
      <c r="B248" s="350" t="str">
        <f>'PLANTILLA INV. PISO (0)'!B244</f>
        <v>AGUA BRISA GAS LIMA LIMON PET 280 ML (24)</v>
      </c>
      <c r="C248" s="351">
        <f>'MODIFICAR CODIGOS '!E244</f>
        <v>24</v>
      </c>
      <c r="D248" s="352">
        <f>'PLANTILLA INV. PISO (0)'!U244</f>
        <v>0</v>
      </c>
      <c r="E248" s="132"/>
      <c r="F248" s="339">
        <f t="shared" si="12"/>
        <v>0</v>
      </c>
      <c r="G248" s="340">
        <f t="shared" si="13"/>
        <v>0</v>
      </c>
      <c r="H248" s="341">
        <f t="shared" si="14"/>
        <v>0</v>
      </c>
      <c r="I248" s="342">
        <f t="shared" si="15"/>
        <v>0</v>
      </c>
      <c r="K248" s="333">
        <f>'PLANTILLA INV. PISO (0)'!AA254</f>
        <v>0</v>
      </c>
    </row>
    <row r="249" spans="1:11" ht="15" customHeight="1" x14ac:dyDescent="0.3">
      <c r="A249" s="350">
        <f>'PLANTILLA INV. PISO (0)'!A245</f>
        <v>92768</v>
      </c>
      <c r="B249" s="350" t="str">
        <f>'PLANTILLA INV. PISO (0)'!B245</f>
        <v>AGUA BRISA GAS MANZANA PET 280 ML (24)</v>
      </c>
      <c r="C249" s="351">
        <f>'MODIFICAR CODIGOS '!E245</f>
        <v>24</v>
      </c>
      <c r="D249" s="352">
        <f>'PLANTILLA INV. PISO (0)'!U245</f>
        <v>143.15</v>
      </c>
      <c r="E249" s="132"/>
      <c r="F249" s="339">
        <f t="shared" si="12"/>
        <v>143</v>
      </c>
      <c r="G249" s="340">
        <f t="shared" si="13"/>
        <v>15.000000000000568</v>
      </c>
      <c r="H249" s="341">
        <f t="shared" si="14"/>
        <v>0.62500000000002365</v>
      </c>
      <c r="I249" s="342">
        <f t="shared" si="15"/>
        <v>143.62500000000003</v>
      </c>
      <c r="K249" s="333">
        <f>'PLANTILLA INV. PISO (0)'!AA255</f>
        <v>0</v>
      </c>
    </row>
    <row r="250" spans="1:11" ht="15" customHeight="1" x14ac:dyDescent="0.3">
      <c r="A250" s="350">
        <f>'PLANTILLA INV. PISO (0)'!A246</f>
        <v>92793</v>
      </c>
      <c r="B250" s="350" t="str">
        <f>'PLANTILLA INV. PISO (0)'!B246</f>
        <v>AGUA BRISA GAS MARACUYA  PET 280 ML (24)</v>
      </c>
      <c r="C250" s="351">
        <f>'MODIFICAR CODIGOS '!E246</f>
        <v>24</v>
      </c>
      <c r="D250" s="352">
        <f>'PLANTILLA INV. PISO (0)'!U246</f>
        <v>11.22</v>
      </c>
      <c r="E250" s="132"/>
      <c r="F250" s="339">
        <f t="shared" si="12"/>
        <v>11</v>
      </c>
      <c r="G250" s="340">
        <f t="shared" si="13"/>
        <v>22.000000000000064</v>
      </c>
      <c r="H250" s="341">
        <f t="shared" si="14"/>
        <v>0.91666666666666929</v>
      </c>
      <c r="I250" s="342">
        <f t="shared" si="15"/>
        <v>11.91666666666667</v>
      </c>
      <c r="K250" s="333">
        <f>'PLANTILLA INV. PISO (0)'!AA256</f>
        <v>0</v>
      </c>
    </row>
    <row r="251" spans="1:11" ht="15" customHeight="1" x14ac:dyDescent="0.3">
      <c r="A251" s="350" t="str">
        <f>'PLANTILLA INV. PISO (0)'!A247</f>
        <v>*</v>
      </c>
      <c r="B251" s="350">
        <f>'PLANTILLA INV. PISO (0)'!B247</f>
        <v>0</v>
      </c>
      <c r="C251" s="351">
        <f>'MODIFICAR CODIGOS '!E247</f>
        <v>0</v>
      </c>
      <c r="D251" s="352">
        <f>'PLANTILLA INV. PISO (0)'!U247</f>
        <v>0</v>
      </c>
      <c r="E251" s="132"/>
      <c r="F251" s="339">
        <f t="shared" si="12"/>
        <v>0</v>
      </c>
      <c r="G251" s="340">
        <f t="shared" si="13"/>
        <v>0</v>
      </c>
      <c r="H251" s="341" t="e">
        <f t="shared" si="14"/>
        <v>#DIV/0!</v>
      </c>
      <c r="I251" s="342" t="e">
        <f t="shared" si="15"/>
        <v>#DIV/0!</v>
      </c>
      <c r="K251" s="333">
        <f>'PLANTILLA INV. PISO (0)'!AA257</f>
        <v>0</v>
      </c>
    </row>
    <row r="252" spans="1:11" ht="15" customHeight="1" x14ac:dyDescent="0.3">
      <c r="A252" s="350">
        <f>'PLANTILLA INV. PISO (0)'!A248</f>
        <v>0</v>
      </c>
      <c r="B252" s="350">
        <f>'PLANTILLA INV. PISO (0)'!B248</f>
        <v>0</v>
      </c>
      <c r="C252" s="351">
        <f>'MODIFICAR CODIGOS '!E248</f>
        <v>1</v>
      </c>
      <c r="D252" s="352">
        <f>'PLANTILLA INV. PISO (0)'!U248</f>
        <v>0</v>
      </c>
      <c r="E252" s="132"/>
      <c r="F252" s="339">
        <f t="shared" si="12"/>
        <v>0</v>
      </c>
      <c r="G252" s="340">
        <f t="shared" si="13"/>
        <v>0</v>
      </c>
      <c r="H252" s="341">
        <f t="shared" si="14"/>
        <v>0</v>
      </c>
      <c r="I252" s="342">
        <f t="shared" si="15"/>
        <v>0</v>
      </c>
      <c r="K252" s="333">
        <f>'PLANTILLA INV. PISO (0)'!AA258</f>
        <v>0</v>
      </c>
    </row>
    <row r="253" spans="1:11" ht="15" customHeight="1" x14ac:dyDescent="0.3">
      <c r="A253" s="350">
        <f>'PLANTILLA INV. PISO (0)'!A249</f>
        <v>0</v>
      </c>
      <c r="B253" s="350">
        <f>'PLANTILLA INV. PISO (0)'!B249</f>
        <v>0</v>
      </c>
      <c r="C253" s="351">
        <f>'MODIFICAR CODIGOS '!E249</f>
        <v>1</v>
      </c>
      <c r="D253" s="352">
        <f>'PLANTILLA INV. PISO (0)'!U249</f>
        <v>0</v>
      </c>
      <c r="E253" s="132"/>
      <c r="F253" s="339">
        <f t="shared" si="12"/>
        <v>0</v>
      </c>
      <c r="G253" s="340">
        <f t="shared" si="13"/>
        <v>0</v>
      </c>
      <c r="H253" s="341">
        <f t="shared" si="14"/>
        <v>0</v>
      </c>
      <c r="I253" s="342">
        <f t="shared" si="15"/>
        <v>0</v>
      </c>
      <c r="K253" s="333">
        <f>'PLANTILLA INV. PISO (0)'!AA259</f>
        <v>0</v>
      </c>
    </row>
    <row r="254" spans="1:11" ht="15" customHeight="1" x14ac:dyDescent="0.3">
      <c r="A254" s="350" t="str">
        <f>'PLANTILLA INV. PISO (0)'!A250</f>
        <v>CODIGO</v>
      </c>
      <c r="B254" s="350" t="str">
        <f>'PLANTILLA INV. PISO (0)'!B250</f>
        <v>PRODUCTO</v>
      </c>
      <c r="C254" s="351">
        <f>'MODIFICAR CODIGOS '!E250</f>
        <v>0</v>
      </c>
      <c r="D254" s="352" t="str">
        <f>'PLANTILLA INV. PISO (0)'!U250</f>
        <v>TOTAL</v>
      </c>
      <c r="E254" s="132"/>
      <c r="F254" s="339" t="e">
        <f t="shared" si="12"/>
        <v>#VALUE!</v>
      </c>
      <c r="G254" s="340" t="e">
        <f t="shared" si="13"/>
        <v>#VALUE!</v>
      </c>
      <c r="H254" s="341" t="e">
        <f t="shared" si="14"/>
        <v>#VALUE!</v>
      </c>
      <c r="I254" s="342" t="e">
        <f t="shared" si="15"/>
        <v>#VALUE!</v>
      </c>
      <c r="K254" s="333">
        <f>'PLANTILLA INV. PISO (0)'!AA260</f>
        <v>0</v>
      </c>
    </row>
    <row r="255" spans="1:11" ht="15" customHeight="1" x14ac:dyDescent="0.3">
      <c r="A255" s="350">
        <f>'PLANTILLA INV. PISO (0)'!A251</f>
        <v>160151</v>
      </c>
      <c r="B255" s="350" t="str">
        <f>'PLANTILLA INV. PISO (0)'!B251</f>
        <v>AGUA BRISA BIDON 6 LT (2)</v>
      </c>
      <c r="C255" s="351">
        <f>'MODIFICAR CODIGOS '!E251</f>
        <v>2</v>
      </c>
      <c r="D255" s="352">
        <f>'PLANTILLA INV. PISO (0)'!U251</f>
        <v>65.010000000000005</v>
      </c>
      <c r="E255" s="132"/>
      <c r="F255" s="339">
        <f t="shared" si="12"/>
        <v>65</v>
      </c>
      <c r="G255" s="340">
        <f t="shared" si="13"/>
        <v>1.0000000000005116</v>
      </c>
      <c r="H255" s="341">
        <f t="shared" si="14"/>
        <v>0.5000000000002558</v>
      </c>
      <c r="I255" s="342">
        <f t="shared" si="15"/>
        <v>65.500000000000256</v>
      </c>
      <c r="K255" s="333">
        <f>'PLANTILLA INV. PISO (0)'!AA261</f>
        <v>0</v>
      </c>
    </row>
    <row r="256" spans="1:11" ht="15" customHeight="1" x14ac:dyDescent="0.3">
      <c r="A256" s="350">
        <f>'PLANTILLA INV. PISO (0)'!A252</f>
        <v>0</v>
      </c>
      <c r="B256" s="350">
        <f>'PLANTILLA INV. PISO (0)'!B252</f>
        <v>0</v>
      </c>
      <c r="C256" s="351">
        <f>'MODIFICAR CODIGOS '!E252</f>
        <v>1</v>
      </c>
      <c r="D256" s="352">
        <f>'PLANTILLA INV. PISO (0)'!U252</f>
        <v>0</v>
      </c>
      <c r="E256" s="132"/>
      <c r="F256" s="339">
        <f t="shared" si="12"/>
        <v>0</v>
      </c>
      <c r="G256" s="340">
        <f t="shared" si="13"/>
        <v>0</v>
      </c>
      <c r="H256" s="341">
        <f t="shared" si="14"/>
        <v>0</v>
      </c>
      <c r="I256" s="342">
        <f t="shared" si="15"/>
        <v>0</v>
      </c>
      <c r="K256" s="333">
        <f>'PLANTILLA INV. PISO (0)'!AA262</f>
        <v>0</v>
      </c>
    </row>
    <row r="257" spans="1:11" ht="15" customHeight="1" x14ac:dyDescent="0.3">
      <c r="A257" s="350">
        <f>'PLANTILLA INV. PISO (0)'!A253</f>
        <v>160047</v>
      </c>
      <c r="B257" s="350" t="str">
        <f>'PLANTILLA INV. PISO (0)'!B253</f>
        <v>AGUA BRISA PET 600ML (24)</v>
      </c>
      <c r="C257" s="351">
        <f>'MODIFICAR CODIGOS '!E253</f>
        <v>24</v>
      </c>
      <c r="D257" s="352">
        <f>'PLANTILLA INV. PISO (0)'!U253</f>
        <v>406</v>
      </c>
      <c r="E257" s="132"/>
      <c r="F257" s="339">
        <f t="shared" si="12"/>
        <v>406</v>
      </c>
      <c r="G257" s="340">
        <f t="shared" si="13"/>
        <v>0</v>
      </c>
      <c r="H257" s="341">
        <f t="shared" si="14"/>
        <v>0</v>
      </c>
      <c r="I257" s="342">
        <f t="shared" si="15"/>
        <v>406</v>
      </c>
      <c r="J257" s="133"/>
      <c r="K257" s="333">
        <f>'PLANTILLA INV. PISO (0)'!AA263</f>
        <v>0</v>
      </c>
    </row>
    <row r="258" spans="1:11" ht="15" customHeight="1" x14ac:dyDescent="0.3">
      <c r="A258" s="350">
        <f>'PLANTILLA INV. PISO (0)'!A254</f>
        <v>0</v>
      </c>
      <c r="B258" s="350">
        <f>'PLANTILLA INV. PISO (0)'!B254</f>
        <v>0</v>
      </c>
      <c r="C258" s="351">
        <f>'MODIFICAR CODIGOS '!E254</f>
        <v>1</v>
      </c>
      <c r="D258" s="352">
        <f>'PLANTILLA INV. PISO (0)'!U254</f>
        <v>0</v>
      </c>
      <c r="E258" s="132"/>
      <c r="F258" s="339">
        <f t="shared" si="12"/>
        <v>0</v>
      </c>
      <c r="G258" s="340">
        <f t="shared" si="13"/>
        <v>0</v>
      </c>
      <c r="H258" s="341">
        <f t="shared" si="14"/>
        <v>0</v>
      </c>
      <c r="I258" s="342">
        <f t="shared" si="15"/>
        <v>0</v>
      </c>
      <c r="K258" s="333">
        <f>'PLANTILLA INV. PISO (0)'!AA264</f>
        <v>0</v>
      </c>
    </row>
    <row r="259" spans="1:11" ht="15" customHeight="1" x14ac:dyDescent="0.3">
      <c r="A259" s="350">
        <f>'PLANTILLA INV. PISO (0)'!A255</f>
        <v>0</v>
      </c>
      <c r="B259" s="350">
        <f>'PLANTILLA INV. PISO (0)'!B255</f>
        <v>0</v>
      </c>
      <c r="C259" s="351">
        <f>'MODIFICAR CODIGOS '!E255</f>
        <v>1</v>
      </c>
      <c r="D259" s="352">
        <f>'PLANTILLA INV. PISO (0)'!U255</f>
        <v>0</v>
      </c>
      <c r="E259" s="132"/>
      <c r="F259" s="339">
        <f t="shared" si="12"/>
        <v>0</v>
      </c>
      <c r="G259" s="340">
        <f t="shared" si="13"/>
        <v>0</v>
      </c>
      <c r="H259" s="341">
        <f t="shared" si="14"/>
        <v>0</v>
      </c>
      <c r="I259" s="342">
        <f t="shared" si="15"/>
        <v>0</v>
      </c>
      <c r="K259" s="333">
        <f>'PLANTILLA INV. PISO (0)'!AA265</f>
        <v>0</v>
      </c>
    </row>
    <row r="260" spans="1:11" ht="15" customHeight="1" x14ac:dyDescent="0.3">
      <c r="A260" s="350">
        <f>'PLANTILLA INV. PISO (0)'!A256</f>
        <v>160046</v>
      </c>
      <c r="B260" s="350" t="str">
        <f>'PLANTILLA INV. PISO (0)'!B256</f>
        <v>AGUA BRISA GAS PET 600ML (24)</v>
      </c>
      <c r="C260" s="351">
        <f>'MODIFICAR CODIGOS '!E256</f>
        <v>24</v>
      </c>
      <c r="D260" s="352">
        <f>'PLANTILLA INV. PISO (0)'!U256</f>
        <v>88.05</v>
      </c>
      <c r="E260" s="132"/>
      <c r="F260" s="339">
        <f t="shared" si="12"/>
        <v>88</v>
      </c>
      <c r="G260" s="340">
        <f t="shared" si="13"/>
        <v>4.9999999999997158</v>
      </c>
      <c r="H260" s="341">
        <f t="shared" si="14"/>
        <v>0.20833333333332149</v>
      </c>
      <c r="I260" s="342">
        <f t="shared" si="15"/>
        <v>88.208333333333314</v>
      </c>
      <c r="K260" s="333">
        <f>'PLANTILLA INV. PISO (0)'!AA266</f>
        <v>0</v>
      </c>
    </row>
    <row r="261" spans="1:11" ht="15" customHeight="1" x14ac:dyDescent="0.3">
      <c r="A261" s="350">
        <f>'PLANTILLA INV. PISO (0)'!A257</f>
        <v>92740</v>
      </c>
      <c r="B261" s="350" t="str">
        <f>'PLANTILLA INV. PISO (0)'!B257</f>
        <v>BRISA LIMA LIMON 1.5 L PET (12)</v>
      </c>
      <c r="C261" s="351">
        <f>'MODIFICAR CODIGOS '!E257</f>
        <v>12</v>
      </c>
      <c r="D261" s="352">
        <f>'PLANTILLA INV. PISO (0)'!U257</f>
        <v>0</v>
      </c>
      <c r="E261" s="132"/>
      <c r="F261" s="339">
        <f t="shared" si="12"/>
        <v>0</v>
      </c>
      <c r="G261" s="340">
        <f t="shared" si="13"/>
        <v>0</v>
      </c>
      <c r="H261" s="341">
        <f t="shared" si="14"/>
        <v>0</v>
      </c>
      <c r="I261" s="342">
        <f t="shared" si="15"/>
        <v>0</v>
      </c>
      <c r="K261" s="333">
        <f>'PLANTILLA INV. PISO (0)'!AA267</f>
        <v>0</v>
      </c>
    </row>
    <row r="262" spans="1:11" ht="15" customHeight="1" x14ac:dyDescent="0.3">
      <c r="A262" s="350">
        <f>'PLANTILLA INV. PISO (0)'!A258</f>
        <v>92770</v>
      </c>
      <c r="B262" s="350" t="str">
        <f>'PLANTILLA INV. PISO (0)'!B258</f>
        <v>BRISA MANZANA 1.5 L</v>
      </c>
      <c r="C262" s="351">
        <f>'MODIFICAR CODIGOS '!E258</f>
        <v>12</v>
      </c>
      <c r="D262" s="352">
        <f>'PLANTILLA INV. PISO (0)'!U258</f>
        <v>12.01</v>
      </c>
      <c r="E262" s="132"/>
      <c r="F262" s="339">
        <f t="shared" si="12"/>
        <v>12</v>
      </c>
      <c r="G262" s="340">
        <f t="shared" si="13"/>
        <v>0.99999999999997868</v>
      </c>
      <c r="H262" s="341">
        <f t="shared" si="14"/>
        <v>8.3333333333331552E-2</v>
      </c>
      <c r="I262" s="342">
        <f t="shared" si="15"/>
        <v>12.083333333333332</v>
      </c>
      <c r="K262" s="333">
        <f>'PLANTILLA INV. PISO (0)'!AA268</f>
        <v>0</v>
      </c>
    </row>
    <row r="263" spans="1:11" ht="15" customHeight="1" x14ac:dyDescent="0.3">
      <c r="A263" s="350">
        <f>'PLANTILLA INV. PISO (0)'!A259</f>
        <v>92795</v>
      </c>
      <c r="B263" s="350" t="str">
        <f>'PLANTILLA INV. PISO (0)'!B259</f>
        <v xml:space="preserve"> BRISA MARACUYA PET 1,5LT (12)</v>
      </c>
      <c r="C263" s="351">
        <f>'MODIFICAR CODIGOS '!E259</f>
        <v>12</v>
      </c>
      <c r="D263" s="352">
        <f>'PLANTILLA INV. PISO (0)'!U259</f>
        <v>9.07</v>
      </c>
      <c r="E263" s="132"/>
      <c r="F263" s="339">
        <f t="shared" ref="F263:F326" si="16">ROUNDDOWN(D263,0)</f>
        <v>9</v>
      </c>
      <c r="G263" s="340">
        <f t="shared" ref="G263:G326" si="17">+(D263-F263)*100</f>
        <v>7.0000000000000284</v>
      </c>
      <c r="H263" s="341">
        <f t="shared" ref="H263:H326" si="18">G263/C263</f>
        <v>0.5833333333333357</v>
      </c>
      <c r="I263" s="342">
        <f t="shared" ref="I263:I326" si="19">F263+H263</f>
        <v>9.5833333333333357</v>
      </c>
      <c r="K263" s="333">
        <f>'PLANTILLA INV. PISO (0)'!AA269</f>
        <v>0</v>
      </c>
    </row>
    <row r="264" spans="1:11" ht="15" customHeight="1" x14ac:dyDescent="0.3">
      <c r="A264" s="350" t="str">
        <f>'PLANTILLA INV. PISO (0)'!A260</f>
        <v>*</v>
      </c>
      <c r="B264" s="350">
        <f>'PLANTILLA INV. PISO (0)'!B260</f>
        <v>0</v>
      </c>
      <c r="C264" s="351">
        <f>'MODIFICAR CODIGOS '!E260</f>
        <v>0</v>
      </c>
      <c r="D264" s="352">
        <f>'PLANTILLA INV. PISO (0)'!U260</f>
        <v>0</v>
      </c>
      <c r="E264" s="132"/>
      <c r="F264" s="339">
        <f t="shared" si="16"/>
        <v>0</v>
      </c>
      <c r="G264" s="340">
        <f t="shared" si="17"/>
        <v>0</v>
      </c>
      <c r="H264" s="341" t="e">
        <f t="shared" si="18"/>
        <v>#DIV/0!</v>
      </c>
      <c r="I264" s="342" t="e">
        <f t="shared" si="19"/>
        <v>#DIV/0!</v>
      </c>
      <c r="K264" s="333">
        <f>'PLANTILLA INV. PISO (0)'!AA270</f>
        <v>0</v>
      </c>
    </row>
    <row r="265" spans="1:11" ht="15" customHeight="1" x14ac:dyDescent="0.3">
      <c r="A265" s="350">
        <f>'PLANTILLA INV. PISO (0)'!A261</f>
        <v>92794</v>
      </c>
      <c r="B265" s="350" t="str">
        <f>'PLANTILLA INV. PISO (0)'!B261</f>
        <v xml:space="preserve"> BRISA MARACUYA PET 600ML (6)</v>
      </c>
      <c r="C265" s="351">
        <f>'MODIFICAR CODIGOS '!E261</f>
        <v>6</v>
      </c>
      <c r="D265" s="352">
        <f>'PLANTILLA INV. PISO (0)'!U261</f>
        <v>36</v>
      </c>
      <c r="E265" s="132"/>
      <c r="F265" s="339">
        <f t="shared" si="16"/>
        <v>36</v>
      </c>
      <c r="G265" s="340">
        <f t="shared" si="17"/>
        <v>0</v>
      </c>
      <c r="H265" s="341">
        <f t="shared" si="18"/>
        <v>0</v>
      </c>
      <c r="I265" s="342">
        <f t="shared" si="19"/>
        <v>36</v>
      </c>
      <c r="K265" s="333">
        <f>'PLANTILLA INV. PISO (0)'!AA271</f>
        <v>0</v>
      </c>
    </row>
    <row r="266" spans="1:11" ht="15" customHeight="1" x14ac:dyDescent="0.3">
      <c r="A266" s="350">
        <f>'PLANTILLA INV. PISO (0)'!A262</f>
        <v>92736</v>
      </c>
      <c r="B266" s="350" t="str">
        <f>'PLANTILLA INV. PISO (0)'!B262</f>
        <v>BRISA LIMA LIMON 600 ML (6)</v>
      </c>
      <c r="C266" s="351">
        <f>'MODIFICAR CODIGOS '!E262</f>
        <v>6</v>
      </c>
      <c r="D266" s="352">
        <f>'PLANTILLA INV. PISO (0)'!U262</f>
        <v>83.02</v>
      </c>
      <c r="E266" s="132"/>
      <c r="F266" s="339">
        <f t="shared" si="16"/>
        <v>83</v>
      </c>
      <c r="G266" s="340">
        <f t="shared" si="17"/>
        <v>1.9999999999996021</v>
      </c>
      <c r="H266" s="341">
        <f t="shared" si="18"/>
        <v>0.33333333333326703</v>
      </c>
      <c r="I266" s="342">
        <f t="shared" si="19"/>
        <v>83.333333333333272</v>
      </c>
      <c r="K266" s="333">
        <f>'PLANTILLA INV. PISO (0)'!AA272</f>
        <v>0</v>
      </c>
    </row>
    <row r="267" spans="1:11" ht="15" customHeight="1" x14ac:dyDescent="0.3">
      <c r="A267" s="350">
        <f>'PLANTILLA INV. PISO (0)'!A263</f>
        <v>92769</v>
      </c>
      <c r="B267" s="350" t="str">
        <f>'PLANTILLA INV. PISO (0)'!B263</f>
        <v>BRISA MANZANA 600 ML(6)</v>
      </c>
      <c r="C267" s="351">
        <f>'MODIFICAR CODIGOS '!E263</f>
        <v>6</v>
      </c>
      <c r="D267" s="352">
        <f>'PLANTILLA INV. PISO (0)'!U263</f>
        <v>4.05</v>
      </c>
      <c r="E267" s="132"/>
      <c r="F267" s="339">
        <f t="shared" si="16"/>
        <v>4</v>
      </c>
      <c r="G267" s="340">
        <f t="shared" si="17"/>
        <v>4.9999999999999822</v>
      </c>
      <c r="H267" s="341">
        <f t="shared" si="18"/>
        <v>0.83333333333333037</v>
      </c>
      <c r="I267" s="342">
        <f t="shared" si="19"/>
        <v>4.8333333333333304</v>
      </c>
      <c r="K267" s="333">
        <f>'PLANTILLA INV. PISO (0)'!AA273</f>
        <v>0</v>
      </c>
    </row>
    <row r="268" spans="1:11" ht="15" customHeight="1" x14ac:dyDescent="0.3">
      <c r="A268" s="350" t="str">
        <f>'PLANTILLA INV. PISO (0)'!A264</f>
        <v>*</v>
      </c>
      <c r="B268" s="350">
        <f>'PLANTILLA INV. PISO (0)'!B264</f>
        <v>0</v>
      </c>
      <c r="C268" s="351">
        <f>'MODIFICAR CODIGOS '!E264</f>
        <v>0</v>
      </c>
      <c r="D268" s="352">
        <f>'PLANTILLA INV. PISO (0)'!U264</f>
        <v>0</v>
      </c>
      <c r="E268" s="132"/>
      <c r="F268" s="339">
        <f t="shared" si="16"/>
        <v>0</v>
      </c>
      <c r="G268" s="340">
        <f t="shared" si="17"/>
        <v>0</v>
      </c>
      <c r="H268" s="341" t="e">
        <f t="shared" si="18"/>
        <v>#DIV/0!</v>
      </c>
      <c r="I268" s="342" t="e">
        <f t="shared" si="19"/>
        <v>#DIV/0!</v>
      </c>
      <c r="K268" s="333">
        <f>'PLANTILLA INV. PISO (0)'!AA274</f>
        <v>0</v>
      </c>
    </row>
    <row r="269" spans="1:11" ht="15" customHeight="1" x14ac:dyDescent="0.3">
      <c r="A269" s="350">
        <f>'PLANTILLA INV. PISO (0)'!A265</f>
        <v>160008</v>
      </c>
      <c r="B269" s="350" t="str">
        <f>'PLANTILLA INV. PISO (0)'!B265</f>
        <v xml:space="preserve">BRISA ECOFLEX </v>
      </c>
      <c r="C269" s="351">
        <f>'MODIFICAR CODIGOS '!E265</f>
        <v>6</v>
      </c>
      <c r="D269" s="352">
        <f>'PLANTILLA INV. PISO (0)'!U265</f>
        <v>99.02</v>
      </c>
      <c r="E269" s="132"/>
      <c r="F269" s="339">
        <f t="shared" si="16"/>
        <v>99</v>
      </c>
      <c r="G269" s="340">
        <f t="shared" si="17"/>
        <v>1.9999999999996021</v>
      </c>
      <c r="H269" s="341">
        <f t="shared" si="18"/>
        <v>0.33333333333326703</v>
      </c>
      <c r="I269" s="342">
        <f t="shared" si="19"/>
        <v>99.333333333333272</v>
      </c>
      <c r="K269" s="333">
        <f>'PLANTILLA INV. PISO (0)'!AA275</f>
        <v>0</v>
      </c>
    </row>
    <row r="270" spans="1:11" ht="15" customHeight="1" x14ac:dyDescent="0.3">
      <c r="A270" s="350">
        <f>'PLANTILLA INV. PISO (0)'!A266</f>
        <v>92757</v>
      </c>
      <c r="B270" s="350" t="str">
        <f>'PLANTILLA INV. PISO (0)'!B266</f>
        <v>BRISA SIN GAS 3 LT (6)</v>
      </c>
      <c r="C270" s="351">
        <f>'MODIFICAR CODIGOS '!E266</f>
        <v>6</v>
      </c>
      <c r="D270" s="352">
        <f>'PLANTILLA INV. PISO (0)'!U266</f>
        <v>0</v>
      </c>
      <c r="E270" s="132"/>
      <c r="F270" s="339">
        <f t="shared" si="16"/>
        <v>0</v>
      </c>
      <c r="G270" s="340">
        <f t="shared" si="17"/>
        <v>0</v>
      </c>
      <c r="H270" s="341">
        <f t="shared" si="18"/>
        <v>0</v>
      </c>
      <c r="I270" s="342">
        <f t="shared" si="19"/>
        <v>0</v>
      </c>
      <c r="K270" s="333">
        <f>'PLANTILLA INV. PISO (0)'!AA276</f>
        <v>0</v>
      </c>
    </row>
    <row r="271" spans="1:11" ht="15" customHeight="1" x14ac:dyDescent="0.3">
      <c r="A271" s="350">
        <f>'PLANTILLA INV. PISO (0)'!A267</f>
        <v>0</v>
      </c>
      <c r="B271" s="350">
        <f>'PLANTILLA INV. PISO (0)'!B267</f>
        <v>0</v>
      </c>
      <c r="C271" s="351">
        <f>'MODIFICAR CODIGOS '!E267</f>
        <v>2</v>
      </c>
      <c r="D271" s="352">
        <f>'PLANTILLA INV. PISO (0)'!U267</f>
        <v>0</v>
      </c>
      <c r="E271" s="132"/>
      <c r="F271" s="339">
        <f t="shared" si="16"/>
        <v>0</v>
      </c>
      <c r="G271" s="340">
        <f t="shared" si="17"/>
        <v>0</v>
      </c>
      <c r="H271" s="341">
        <f t="shared" si="18"/>
        <v>0</v>
      </c>
      <c r="I271" s="342">
        <f t="shared" si="19"/>
        <v>0</v>
      </c>
      <c r="K271" s="333">
        <f>'PLANTILLA INV. PISO (0)'!AA277</f>
        <v>0</v>
      </c>
    </row>
    <row r="272" spans="1:11" ht="15" customHeight="1" x14ac:dyDescent="0.3">
      <c r="A272" s="350">
        <f>'PLANTILLA INV. PISO (0)'!A268</f>
        <v>160048</v>
      </c>
      <c r="B272" s="350" t="str">
        <f>'PLANTILLA INV. PISO (0)'!B268</f>
        <v>AGUA BRISA BOTELLON 5 GL TAPA VALVULA</v>
      </c>
      <c r="C272" s="351">
        <f>'MODIFICAR CODIGOS '!E268</f>
        <v>1</v>
      </c>
      <c r="D272" s="352">
        <f>'PLANTILLA INV. PISO (0)'!U268</f>
        <v>256</v>
      </c>
      <c r="E272" s="132"/>
      <c r="F272" s="339">
        <f t="shared" si="16"/>
        <v>256</v>
      </c>
      <c r="G272" s="340">
        <f t="shared" si="17"/>
        <v>0</v>
      </c>
      <c r="H272" s="341">
        <f t="shared" si="18"/>
        <v>0</v>
      </c>
      <c r="I272" s="342">
        <f t="shared" si="19"/>
        <v>256</v>
      </c>
      <c r="K272" s="333">
        <f>'PLANTILLA INV. PISO (0)'!AA278</f>
        <v>0</v>
      </c>
    </row>
    <row r="273" spans="1:11" ht="15" customHeight="1" x14ac:dyDescent="0.3">
      <c r="A273" s="350" t="str">
        <f>'PLANTILLA INV. PISO (0)'!A269</f>
        <v>*</v>
      </c>
      <c r="B273" s="350">
        <f>'PLANTILLA INV. PISO (0)'!B269</f>
        <v>0</v>
      </c>
      <c r="C273" s="351">
        <f>'MODIFICAR CODIGOS '!E269</f>
        <v>0</v>
      </c>
      <c r="D273" s="352">
        <f>'PLANTILLA INV. PISO (0)'!U269</f>
        <v>0</v>
      </c>
      <c r="E273" s="132"/>
      <c r="F273" s="339">
        <f t="shared" si="16"/>
        <v>0</v>
      </c>
      <c r="G273" s="340">
        <f t="shared" si="17"/>
        <v>0</v>
      </c>
      <c r="H273" s="341" t="e">
        <f t="shared" si="18"/>
        <v>#DIV/0!</v>
      </c>
      <c r="I273" s="342" t="e">
        <f t="shared" si="19"/>
        <v>#DIV/0!</v>
      </c>
      <c r="K273" s="333">
        <f>'PLANTILLA INV. PISO (0)'!AA279</f>
        <v>0</v>
      </c>
    </row>
    <row r="274" spans="1:11" ht="15" customHeight="1" x14ac:dyDescent="0.3">
      <c r="A274" s="350">
        <f>'PLANTILLA INV. PISO (0)'!A270</f>
        <v>0</v>
      </c>
      <c r="B274" s="350">
        <f>'PLANTILLA INV. PISO (0)'!B270</f>
        <v>0</v>
      </c>
      <c r="C274" s="351">
        <f>'MODIFICAR CODIGOS '!E270</f>
        <v>1</v>
      </c>
      <c r="D274" s="352">
        <f>'PLANTILLA INV. PISO (0)'!U270</f>
        <v>0</v>
      </c>
      <c r="E274" s="132"/>
      <c r="F274" s="339">
        <f t="shared" si="16"/>
        <v>0</v>
      </c>
      <c r="G274" s="340">
        <f t="shared" si="17"/>
        <v>0</v>
      </c>
      <c r="H274" s="341">
        <f t="shared" si="18"/>
        <v>0</v>
      </c>
      <c r="I274" s="342">
        <f t="shared" si="19"/>
        <v>0</v>
      </c>
      <c r="K274" s="333">
        <f>'PLANTILLA INV. PISO (0)'!AA280</f>
        <v>0</v>
      </c>
    </row>
    <row r="275" spans="1:11" ht="15" customHeight="1" x14ac:dyDescent="0.3">
      <c r="A275" s="350">
        <f>'PLANTILLA INV. PISO (0)'!A271</f>
        <v>0</v>
      </c>
      <c r="B275" s="350">
        <f>'PLANTILLA INV. PISO (0)'!B271</f>
        <v>0</v>
      </c>
      <c r="C275" s="351">
        <f>'MODIFICAR CODIGOS '!E271</f>
        <v>1</v>
      </c>
      <c r="D275" s="352">
        <f>'PLANTILLA INV. PISO (0)'!U271</f>
        <v>0</v>
      </c>
      <c r="E275" s="132"/>
      <c r="F275" s="339">
        <f t="shared" si="16"/>
        <v>0</v>
      </c>
      <c r="G275" s="340">
        <f t="shared" si="17"/>
        <v>0</v>
      </c>
      <c r="H275" s="341">
        <f t="shared" si="18"/>
        <v>0</v>
      </c>
      <c r="I275" s="342">
        <f t="shared" si="19"/>
        <v>0</v>
      </c>
      <c r="K275" s="333">
        <f>'PLANTILLA INV. PISO (0)'!AA281</f>
        <v>0</v>
      </c>
    </row>
    <row r="276" spans="1:11" ht="15" customHeight="1" x14ac:dyDescent="0.3">
      <c r="A276" s="350">
        <f>'PLANTILLA INV. PISO (0)'!A272</f>
        <v>0</v>
      </c>
      <c r="B276" s="350">
        <f>'PLANTILLA INV. PISO (0)'!B272</f>
        <v>0</v>
      </c>
      <c r="C276" s="351">
        <f>'MODIFICAR CODIGOS '!E272</f>
        <v>2</v>
      </c>
      <c r="D276" s="352">
        <f>'PLANTILLA INV. PISO (0)'!U272</f>
        <v>0</v>
      </c>
      <c r="E276" s="132"/>
      <c r="F276" s="339">
        <f t="shared" si="16"/>
        <v>0</v>
      </c>
      <c r="G276" s="340">
        <f t="shared" si="17"/>
        <v>0</v>
      </c>
      <c r="H276" s="341">
        <f t="shared" si="18"/>
        <v>0</v>
      </c>
      <c r="I276" s="342">
        <f t="shared" si="19"/>
        <v>0</v>
      </c>
      <c r="K276" s="333">
        <f>'PLANTILLA INV. PISO (0)'!AA282</f>
        <v>0</v>
      </c>
    </row>
    <row r="277" spans="1:11" ht="15" customHeight="1" x14ac:dyDescent="0.3">
      <c r="A277" s="350" t="str">
        <f>'PLANTILLA INV. PISO (0)'!A273</f>
        <v>*</v>
      </c>
      <c r="B277" s="350">
        <f>'PLANTILLA INV. PISO (0)'!B273</f>
        <v>0</v>
      </c>
      <c r="C277" s="351">
        <f>'MODIFICAR CODIGOS '!E273</f>
        <v>1</v>
      </c>
      <c r="D277" s="352">
        <f>'PLANTILLA INV. PISO (0)'!U273</f>
        <v>0</v>
      </c>
      <c r="E277" s="132"/>
      <c r="F277" s="339">
        <f t="shared" si="16"/>
        <v>0</v>
      </c>
      <c r="G277" s="340">
        <f t="shared" si="17"/>
        <v>0</v>
      </c>
      <c r="H277" s="341">
        <f t="shared" si="18"/>
        <v>0</v>
      </c>
      <c r="I277" s="342">
        <f t="shared" si="19"/>
        <v>0</v>
      </c>
      <c r="K277" s="333">
        <f>'PLANTILLA INV. PISO (0)'!AA283</f>
        <v>0</v>
      </c>
    </row>
    <row r="278" spans="1:11" ht="15" customHeight="1" x14ac:dyDescent="0.3">
      <c r="A278" s="350">
        <f>'PLANTILLA INV. PISO (0)'!A274</f>
        <v>135676</v>
      </c>
      <c r="B278" s="350" t="str">
        <f>'PLANTILLA INV. PISO (0)'!B274</f>
        <v xml:space="preserve">COMBO AHORRO CCSO 2.5 LT </v>
      </c>
      <c r="C278" s="351">
        <f>'MODIFICAR CODIGOS '!E274</f>
        <v>2</v>
      </c>
      <c r="D278" s="352">
        <f>'PLANTILLA INV. PISO (0)'!U274</f>
        <v>3</v>
      </c>
      <c r="E278" s="132"/>
      <c r="F278" s="339">
        <f t="shared" si="16"/>
        <v>3</v>
      </c>
      <c r="G278" s="340">
        <f t="shared" si="17"/>
        <v>0</v>
      </c>
      <c r="H278" s="341">
        <f t="shared" si="18"/>
        <v>0</v>
      </c>
      <c r="I278" s="342">
        <f t="shared" si="19"/>
        <v>3</v>
      </c>
      <c r="K278" s="333">
        <f>'PLANTILLA INV. PISO (0)'!AA284</f>
        <v>0</v>
      </c>
    </row>
    <row r="279" spans="1:11" ht="15" customHeight="1" x14ac:dyDescent="0.3">
      <c r="A279" s="350">
        <f>'PLANTILLA INV. PISO (0)'!A275</f>
        <v>0</v>
      </c>
      <c r="B279" s="350">
        <f>'PLANTILLA INV. PISO (0)'!B275</f>
        <v>0</v>
      </c>
      <c r="C279" s="351">
        <f>'MODIFICAR CODIGOS '!E275</f>
        <v>2</v>
      </c>
      <c r="D279" s="352">
        <f>'PLANTILLA INV. PISO (0)'!U275</f>
        <v>0</v>
      </c>
      <c r="E279" s="132"/>
      <c r="F279" s="339">
        <f t="shared" si="16"/>
        <v>0</v>
      </c>
      <c r="G279" s="340">
        <f t="shared" si="17"/>
        <v>0</v>
      </c>
      <c r="H279" s="341">
        <f t="shared" si="18"/>
        <v>0</v>
      </c>
      <c r="I279" s="342">
        <f t="shared" si="19"/>
        <v>0</v>
      </c>
      <c r="K279" s="333">
        <f>'PLANTILLA INV. PISO (0)'!AA285</f>
        <v>0</v>
      </c>
    </row>
    <row r="280" spans="1:11" ht="15" customHeight="1" x14ac:dyDescent="0.3">
      <c r="A280" s="350">
        <f>'PLANTILLA INV. PISO (0)'!A276</f>
        <v>0</v>
      </c>
      <c r="B280" s="350">
        <f>'PLANTILLA INV. PISO (0)'!B276</f>
        <v>0</v>
      </c>
      <c r="C280" s="351">
        <f>'MODIFICAR CODIGOS '!E276</f>
        <v>2</v>
      </c>
      <c r="D280" s="352">
        <f>'PLANTILLA INV. PISO (0)'!U276</f>
        <v>0</v>
      </c>
      <c r="E280" s="132"/>
      <c r="F280" s="339">
        <f t="shared" si="16"/>
        <v>0</v>
      </c>
      <c r="G280" s="340">
        <f t="shared" si="17"/>
        <v>0</v>
      </c>
      <c r="H280" s="341">
        <f t="shared" si="18"/>
        <v>0</v>
      </c>
      <c r="I280" s="342">
        <f t="shared" si="19"/>
        <v>0</v>
      </c>
      <c r="K280" s="333">
        <f>'PLANTILLA INV. PISO (0)'!AA286</f>
        <v>0</v>
      </c>
    </row>
    <row r="281" spans="1:11" ht="15" customHeight="1" x14ac:dyDescent="0.3">
      <c r="A281" s="350">
        <f>'PLANTILLA INV. PISO (0)'!A277</f>
        <v>92787</v>
      </c>
      <c r="B281" s="350" t="str">
        <f>'PLANTILLA INV. PISO (0)'!B277</f>
        <v>2 PK BRISA MANZANA 1.5L</v>
      </c>
      <c r="C281" s="351">
        <f>'MODIFICAR CODIGOS '!E277</f>
        <v>2</v>
      </c>
      <c r="D281" s="352">
        <f>'PLANTILLA INV. PISO (0)'!U277</f>
        <v>0</v>
      </c>
      <c r="E281" s="132"/>
      <c r="F281" s="339">
        <f t="shared" si="16"/>
        <v>0</v>
      </c>
      <c r="G281" s="340">
        <f t="shared" si="17"/>
        <v>0</v>
      </c>
      <c r="H281" s="341">
        <f t="shared" si="18"/>
        <v>0</v>
      </c>
      <c r="I281" s="342">
        <f t="shared" si="19"/>
        <v>0</v>
      </c>
      <c r="K281" s="333">
        <f>'PLANTILLA INV. PISO (0)'!AA287</f>
        <v>0</v>
      </c>
    </row>
    <row r="282" spans="1:11" ht="15" customHeight="1" x14ac:dyDescent="0.3">
      <c r="A282" s="350">
        <f>'PLANTILLA INV. PISO (0)'!A278</f>
        <v>0</v>
      </c>
      <c r="B282" s="350">
        <f>'PLANTILLA INV. PISO (0)'!B278</f>
        <v>0</v>
      </c>
      <c r="C282" s="351">
        <f>'MODIFICAR CODIGOS '!E278</f>
        <v>1</v>
      </c>
      <c r="D282" s="352">
        <f>'PLANTILLA INV. PISO (0)'!U278</f>
        <v>0</v>
      </c>
      <c r="E282" s="132"/>
      <c r="F282" s="339">
        <f t="shared" si="16"/>
        <v>0</v>
      </c>
      <c r="G282" s="340">
        <f t="shared" si="17"/>
        <v>0</v>
      </c>
      <c r="H282" s="341">
        <f t="shared" si="18"/>
        <v>0</v>
      </c>
      <c r="I282" s="342">
        <f t="shared" si="19"/>
        <v>0</v>
      </c>
      <c r="K282" s="333">
        <f>'PLANTILLA INV. PISO (0)'!AA288</f>
        <v>0</v>
      </c>
    </row>
    <row r="283" spans="1:11" ht="15" customHeight="1" x14ac:dyDescent="0.3">
      <c r="A283" s="350" t="str">
        <f>'PLANTILLA INV. PISO (0)'!A279</f>
        <v>*</v>
      </c>
      <c r="B283" s="350">
        <f>'PLANTILLA INV. PISO (0)'!B279</f>
        <v>0</v>
      </c>
      <c r="C283" s="351">
        <f>'MODIFICAR CODIGOS '!E279</f>
        <v>1</v>
      </c>
      <c r="D283" s="352">
        <f>'PLANTILLA INV. PISO (0)'!U279</f>
        <v>0</v>
      </c>
      <c r="E283" s="132"/>
      <c r="F283" s="339">
        <f t="shared" si="16"/>
        <v>0</v>
      </c>
      <c r="G283" s="340">
        <f t="shared" si="17"/>
        <v>0</v>
      </c>
      <c r="H283" s="341">
        <f t="shared" si="18"/>
        <v>0</v>
      </c>
      <c r="I283" s="342">
        <f t="shared" si="19"/>
        <v>0</v>
      </c>
      <c r="K283" s="333">
        <f>'PLANTILLA INV. PISO (0)'!AA289</f>
        <v>0</v>
      </c>
    </row>
    <row r="284" spans="1:11" ht="15" customHeight="1" x14ac:dyDescent="0.3">
      <c r="A284" s="350">
        <f>'PLANTILLA INV. PISO (0)'!A280</f>
        <v>135772</v>
      </c>
      <c r="B284" s="350" t="str">
        <f>'PLANTILLA INV. PISO (0)'!B280</f>
        <v>2 PK CCSA 1.5 LT</v>
      </c>
      <c r="C284" s="351">
        <f>'MODIFICAR CODIGOS '!E280</f>
        <v>2</v>
      </c>
      <c r="D284" s="352">
        <f>'PLANTILLA INV. PISO (0)'!U280</f>
        <v>1</v>
      </c>
      <c r="E284" s="132"/>
      <c r="F284" s="339">
        <f t="shared" si="16"/>
        <v>1</v>
      </c>
      <c r="G284" s="340">
        <f t="shared" si="17"/>
        <v>0</v>
      </c>
      <c r="H284" s="341">
        <f t="shared" si="18"/>
        <v>0</v>
      </c>
      <c r="I284" s="342">
        <f t="shared" si="19"/>
        <v>1</v>
      </c>
      <c r="K284" s="333">
        <f>'PLANTILLA INV. PISO (0)'!AA290</f>
        <v>0</v>
      </c>
    </row>
    <row r="285" spans="1:11" ht="15" customHeight="1" x14ac:dyDescent="0.3">
      <c r="A285" s="350">
        <f>'PLANTILLA INV. PISO (0)'!A281</f>
        <v>135685</v>
      </c>
      <c r="B285" s="350" t="str">
        <f>'PLANTILLA INV. PISO (0)'!B281</f>
        <v>2 PC CCSO 1.5LT</v>
      </c>
      <c r="C285" s="351">
        <f>'MODIFICAR CODIGOS '!E281</f>
        <v>2</v>
      </c>
      <c r="D285" s="352">
        <f>'PLANTILLA INV. PISO (0)'!U281</f>
        <v>21</v>
      </c>
      <c r="E285" s="132"/>
      <c r="F285" s="339">
        <f t="shared" si="16"/>
        <v>21</v>
      </c>
      <c r="G285" s="340">
        <f t="shared" si="17"/>
        <v>0</v>
      </c>
      <c r="H285" s="341">
        <f t="shared" si="18"/>
        <v>0</v>
      </c>
      <c r="I285" s="342">
        <f t="shared" si="19"/>
        <v>21</v>
      </c>
      <c r="K285" s="333">
        <f>'PLANTILLA INV. PISO (0)'!AA291</f>
        <v>0</v>
      </c>
    </row>
    <row r="286" spans="1:11" ht="15" customHeight="1" x14ac:dyDescent="0.3">
      <c r="A286" s="350" t="str">
        <f>'PLANTILLA INV. PISO (0)'!A282</f>
        <v>*</v>
      </c>
      <c r="B286" s="350">
        <f>'PLANTILLA INV. PISO (0)'!B282</f>
        <v>0</v>
      </c>
      <c r="C286" s="351">
        <f>'MODIFICAR CODIGOS '!E282</f>
        <v>1</v>
      </c>
      <c r="D286" s="352">
        <f>'PLANTILLA INV. PISO (0)'!U282</f>
        <v>0</v>
      </c>
      <c r="E286" s="132"/>
      <c r="F286" s="339">
        <f t="shared" si="16"/>
        <v>0</v>
      </c>
      <c r="G286" s="340">
        <f t="shared" si="17"/>
        <v>0</v>
      </c>
      <c r="H286" s="341">
        <f t="shared" si="18"/>
        <v>0</v>
      </c>
      <c r="I286" s="342">
        <f t="shared" si="19"/>
        <v>0</v>
      </c>
      <c r="K286" s="333">
        <f>'PLANTILLA INV. PISO (0)'!AA292</f>
        <v>0</v>
      </c>
    </row>
    <row r="287" spans="1:11" ht="15" customHeight="1" x14ac:dyDescent="0.3">
      <c r="A287" s="350">
        <f>'PLANTILLA INV. PISO (0)'!A283</f>
        <v>0</v>
      </c>
      <c r="B287" s="350">
        <f>'PLANTILLA INV. PISO (0)'!B283</f>
        <v>0</v>
      </c>
      <c r="C287" s="351">
        <f>'MODIFICAR CODIGOS '!E283</f>
        <v>1</v>
      </c>
      <c r="D287" s="352">
        <f>'PLANTILLA INV. PISO (0)'!U283</f>
        <v>0</v>
      </c>
      <c r="E287" s="132"/>
      <c r="F287" s="339">
        <f t="shared" si="16"/>
        <v>0</v>
      </c>
      <c r="G287" s="340">
        <f t="shared" si="17"/>
        <v>0</v>
      </c>
      <c r="H287" s="341">
        <f t="shared" si="18"/>
        <v>0</v>
      </c>
      <c r="I287" s="342">
        <f t="shared" si="19"/>
        <v>0</v>
      </c>
      <c r="K287" s="333">
        <f>'PLANTILLA INV. PISO (0)'!AA293</f>
        <v>0</v>
      </c>
    </row>
    <row r="288" spans="1:11" ht="15" customHeight="1" x14ac:dyDescent="0.3">
      <c r="A288" s="350">
        <f>'PLANTILLA INV. PISO (0)'!A284</f>
        <v>0</v>
      </c>
      <c r="B288" s="350">
        <f>'PLANTILLA INV. PISO (0)'!B284</f>
        <v>0</v>
      </c>
      <c r="C288" s="351">
        <f>'MODIFICAR CODIGOS '!E284</f>
        <v>1</v>
      </c>
      <c r="D288" s="352">
        <f>'PLANTILLA INV. PISO (0)'!U284</f>
        <v>0</v>
      </c>
      <c r="E288" s="132"/>
      <c r="F288" s="339">
        <f t="shared" si="16"/>
        <v>0</v>
      </c>
      <c r="G288" s="340">
        <f t="shared" si="17"/>
        <v>0</v>
      </c>
      <c r="H288" s="341">
        <f t="shared" si="18"/>
        <v>0</v>
      </c>
      <c r="I288" s="342">
        <f t="shared" si="19"/>
        <v>0</v>
      </c>
      <c r="K288" s="333">
        <f>'PLANTILLA INV. PISO (0)'!AA294</f>
        <v>0</v>
      </c>
    </row>
    <row r="289" spans="1:18" ht="15" customHeight="1" x14ac:dyDescent="0.3">
      <c r="A289" s="350" t="str">
        <f>'PLANTILLA INV. PISO (0)'!A285</f>
        <v>*</v>
      </c>
      <c r="B289" s="350">
        <f>'PLANTILLA INV. PISO (0)'!B285</f>
        <v>0</v>
      </c>
      <c r="C289" s="351">
        <f>'MODIFICAR CODIGOS '!E285</f>
        <v>1</v>
      </c>
      <c r="D289" s="352">
        <f>'PLANTILLA INV. PISO (0)'!U285</f>
        <v>0</v>
      </c>
      <c r="E289" s="132"/>
      <c r="F289" s="339">
        <f t="shared" si="16"/>
        <v>0</v>
      </c>
      <c r="G289" s="340">
        <f t="shared" si="17"/>
        <v>0</v>
      </c>
      <c r="H289" s="341">
        <f t="shared" si="18"/>
        <v>0</v>
      </c>
      <c r="I289" s="342">
        <f t="shared" si="19"/>
        <v>0</v>
      </c>
      <c r="K289" s="333">
        <f>'PLANTILLA INV. PISO (0)'!AA295</f>
        <v>0</v>
      </c>
    </row>
    <row r="290" spans="1:18" ht="15" customHeight="1" x14ac:dyDescent="0.3">
      <c r="A290" s="350">
        <f>'PLANTILLA INV. PISO (0)'!A286</f>
        <v>120120</v>
      </c>
      <c r="B290" s="350" t="str">
        <f>'PLANTILLA INV. PISO (0)'!B286</f>
        <v>2 PK FRESH CITRUS 2.5 L</v>
      </c>
      <c r="C290" s="351">
        <f>'MODIFICAR CODIGOS '!E286</f>
        <v>2</v>
      </c>
      <c r="D290" s="352">
        <f>'PLANTILLA INV. PISO (0)'!U286</f>
        <v>43</v>
      </c>
      <c r="E290" s="132"/>
      <c r="F290" s="339">
        <f t="shared" si="16"/>
        <v>43</v>
      </c>
      <c r="G290" s="340">
        <f t="shared" si="17"/>
        <v>0</v>
      </c>
      <c r="H290" s="341">
        <f t="shared" si="18"/>
        <v>0</v>
      </c>
      <c r="I290" s="342">
        <f t="shared" si="19"/>
        <v>43</v>
      </c>
      <c r="K290" s="333">
        <f>'PLANTILLA INV. PISO (0)'!AA296</f>
        <v>0</v>
      </c>
    </row>
    <row r="291" spans="1:18" ht="15" customHeight="1" x14ac:dyDescent="0.3">
      <c r="A291" s="350">
        <f>'PLANTILLA INV. PISO (0)'!A287</f>
        <v>0</v>
      </c>
      <c r="B291" s="350">
        <f>'PLANTILLA INV. PISO (0)'!B287</f>
        <v>0</v>
      </c>
      <c r="C291" s="351">
        <f>'MODIFICAR CODIGOS '!E287</f>
        <v>6</v>
      </c>
      <c r="D291" s="352">
        <f>'PLANTILLA INV. PISO (0)'!U287</f>
        <v>0</v>
      </c>
      <c r="E291" s="132"/>
      <c r="F291" s="339">
        <f t="shared" si="16"/>
        <v>0</v>
      </c>
      <c r="G291" s="340">
        <f t="shared" si="17"/>
        <v>0</v>
      </c>
      <c r="H291" s="341">
        <f t="shared" si="18"/>
        <v>0</v>
      </c>
      <c r="I291" s="342">
        <f t="shared" si="19"/>
        <v>0</v>
      </c>
      <c r="K291" s="333">
        <f>'PLANTILLA INV. PISO (0)'!AA297</f>
        <v>0</v>
      </c>
    </row>
    <row r="292" spans="1:18" ht="15" customHeight="1" x14ac:dyDescent="0.3">
      <c r="A292" s="350">
        <f>'PLANTILLA INV. PISO (0)'!A288</f>
        <v>0</v>
      </c>
      <c r="B292" s="350">
        <f>'PLANTILLA INV. PISO (0)'!B288</f>
        <v>0</v>
      </c>
      <c r="C292" s="351">
        <f>'MODIFICAR CODIGOS '!E288</f>
        <v>12</v>
      </c>
      <c r="D292" s="352">
        <f>'PLANTILLA INV. PISO (0)'!U288</f>
        <v>0</v>
      </c>
      <c r="E292" s="132"/>
      <c r="F292" s="339">
        <f t="shared" si="16"/>
        <v>0</v>
      </c>
      <c r="G292" s="340">
        <f t="shared" si="17"/>
        <v>0</v>
      </c>
      <c r="H292" s="341">
        <f t="shared" si="18"/>
        <v>0</v>
      </c>
      <c r="I292" s="342">
        <f t="shared" si="19"/>
        <v>0</v>
      </c>
      <c r="K292" s="333">
        <f>'PLANTILLA INV. PISO (0)'!AA298</f>
        <v>0</v>
      </c>
    </row>
    <row r="293" spans="1:18" ht="15" customHeight="1" x14ac:dyDescent="0.3">
      <c r="A293" s="350">
        <f>'PLANTILLA INV. PISO (0)'!A289</f>
        <v>0</v>
      </c>
      <c r="B293" s="350">
        <f>'PLANTILLA INV. PISO (0)'!B289</f>
        <v>0</v>
      </c>
      <c r="C293" s="351">
        <f>'MODIFICAR CODIGOS '!E289</f>
        <v>1</v>
      </c>
      <c r="D293" s="352">
        <f>'PLANTILLA INV. PISO (0)'!U289</f>
        <v>0</v>
      </c>
      <c r="E293" s="132"/>
      <c r="F293" s="339">
        <f t="shared" si="16"/>
        <v>0</v>
      </c>
      <c r="G293" s="340">
        <f t="shared" si="17"/>
        <v>0</v>
      </c>
      <c r="H293" s="341">
        <f t="shared" si="18"/>
        <v>0</v>
      </c>
      <c r="I293" s="342">
        <f t="shared" si="19"/>
        <v>0</v>
      </c>
      <c r="K293" s="333">
        <f>'PLANTILLA INV. PISO (0)'!AA299</f>
        <v>0</v>
      </c>
    </row>
    <row r="294" spans="1:18" ht="15" customHeight="1" x14ac:dyDescent="0.3">
      <c r="A294" s="350">
        <f>'PLANTILLA INV. PISO (0)'!A290</f>
        <v>0</v>
      </c>
      <c r="B294" s="350">
        <f>'PLANTILLA INV. PISO (0)'!B290</f>
        <v>0</v>
      </c>
      <c r="C294" s="351">
        <f>'MODIFICAR CODIGOS '!E290</f>
        <v>12</v>
      </c>
      <c r="D294" s="352">
        <f>'PLANTILLA INV. PISO (0)'!U290</f>
        <v>0</v>
      </c>
      <c r="E294" s="132"/>
      <c r="F294" s="339">
        <f t="shared" si="16"/>
        <v>0</v>
      </c>
      <c r="G294" s="340">
        <f t="shared" si="17"/>
        <v>0</v>
      </c>
      <c r="H294" s="341">
        <f t="shared" si="18"/>
        <v>0</v>
      </c>
      <c r="I294" s="342">
        <f t="shared" si="19"/>
        <v>0</v>
      </c>
      <c r="K294" s="333">
        <f>'PLANTILLA INV. PISO (0)'!AA300</f>
        <v>0</v>
      </c>
    </row>
    <row r="295" spans="1:18" ht="15" customHeight="1" x14ac:dyDescent="0.3">
      <c r="A295" s="350" t="str">
        <f>'PLANTILLA INV. PISO (0)'!A291</f>
        <v>*</v>
      </c>
      <c r="B295" s="350">
        <f>'PLANTILLA INV. PISO (0)'!B291</f>
        <v>0</v>
      </c>
      <c r="C295" s="351">
        <f>'MODIFICAR CODIGOS '!E291</f>
        <v>1</v>
      </c>
      <c r="D295" s="352">
        <f>'PLANTILLA INV. PISO (0)'!U291</f>
        <v>0</v>
      </c>
      <c r="E295" s="132"/>
      <c r="F295" s="339">
        <f t="shared" si="16"/>
        <v>0</v>
      </c>
      <c r="G295" s="340">
        <f t="shared" si="17"/>
        <v>0</v>
      </c>
      <c r="H295" s="341">
        <f t="shared" si="18"/>
        <v>0</v>
      </c>
      <c r="I295" s="342">
        <f t="shared" si="19"/>
        <v>0</v>
      </c>
      <c r="K295" s="333">
        <f>'PLANTILLA INV. PISO (0)'!AA301</f>
        <v>0</v>
      </c>
      <c r="R295" s="135"/>
    </row>
    <row r="296" spans="1:18" ht="15" customHeight="1" x14ac:dyDescent="0.3">
      <c r="A296" s="350">
        <f>'PLANTILLA INV. PISO (0)'!A292</f>
        <v>0</v>
      </c>
      <c r="B296" s="350">
        <f>'PLANTILLA INV. PISO (0)'!B292</f>
        <v>0</v>
      </c>
      <c r="C296" s="351">
        <f>'MODIFICAR CODIGOS '!E292</f>
        <v>1</v>
      </c>
      <c r="D296" s="352">
        <f>'PLANTILLA INV. PISO (0)'!U292</f>
        <v>0</v>
      </c>
      <c r="E296" s="132"/>
      <c r="F296" s="339">
        <f t="shared" si="16"/>
        <v>0</v>
      </c>
      <c r="G296" s="340">
        <f t="shared" si="17"/>
        <v>0</v>
      </c>
      <c r="H296" s="341">
        <f t="shared" si="18"/>
        <v>0</v>
      </c>
      <c r="I296" s="342">
        <f t="shared" si="19"/>
        <v>0</v>
      </c>
      <c r="K296" s="333">
        <f>'PLANTILLA INV. PISO (0)'!AA302</f>
        <v>0</v>
      </c>
    </row>
    <row r="297" spans="1:18" ht="15" customHeight="1" x14ac:dyDescent="0.3">
      <c r="A297" s="350">
        <f>'PLANTILLA INV. PISO (0)'!A293</f>
        <v>0</v>
      </c>
      <c r="B297" s="350">
        <f>'PLANTILLA INV. PISO (0)'!B293</f>
        <v>0</v>
      </c>
      <c r="C297" s="351">
        <f>'MODIFICAR CODIGOS '!E293</f>
        <v>1</v>
      </c>
      <c r="D297" s="352">
        <f>'PLANTILLA INV. PISO (0)'!U293</f>
        <v>0</v>
      </c>
      <c r="E297" s="132"/>
      <c r="F297" s="339">
        <f t="shared" si="16"/>
        <v>0</v>
      </c>
      <c r="G297" s="340">
        <f t="shared" si="17"/>
        <v>0</v>
      </c>
      <c r="H297" s="341">
        <f t="shared" si="18"/>
        <v>0</v>
      </c>
      <c r="I297" s="342">
        <f t="shared" si="19"/>
        <v>0</v>
      </c>
      <c r="K297" s="333">
        <f>'PLANTILLA INV. PISO (0)'!AA303</f>
        <v>0</v>
      </c>
    </row>
    <row r="298" spans="1:18" ht="15" customHeight="1" x14ac:dyDescent="0.3">
      <c r="A298" s="350">
        <f>'PLANTILLA INV. PISO (0)'!A294</f>
        <v>0</v>
      </c>
      <c r="B298" s="350">
        <f>'PLANTILLA INV. PISO (0)'!B294</f>
        <v>0</v>
      </c>
      <c r="C298" s="351">
        <f>'MODIFICAR CODIGOS '!E294</f>
        <v>1</v>
      </c>
      <c r="D298" s="352">
        <f>'PLANTILLA INV. PISO (0)'!U294</f>
        <v>0</v>
      </c>
      <c r="E298" s="132"/>
      <c r="F298" s="339">
        <f t="shared" si="16"/>
        <v>0</v>
      </c>
      <c r="G298" s="340">
        <f t="shared" si="17"/>
        <v>0</v>
      </c>
      <c r="H298" s="341">
        <f t="shared" si="18"/>
        <v>0</v>
      </c>
      <c r="I298" s="342">
        <f t="shared" si="19"/>
        <v>0</v>
      </c>
      <c r="K298" s="333">
        <f>'PLANTILLA INV. PISO (0)'!AA304</f>
        <v>0</v>
      </c>
    </row>
    <row r="299" spans="1:18" ht="15" customHeight="1" x14ac:dyDescent="0.3">
      <c r="A299" s="350">
        <f>'PLANTILLA INV. PISO (0)'!A295</f>
        <v>0</v>
      </c>
      <c r="B299" s="350">
        <f>'PLANTILLA INV. PISO (0)'!B295</f>
        <v>0</v>
      </c>
      <c r="C299" s="351">
        <f>'MODIFICAR CODIGOS '!E295</f>
        <v>1</v>
      </c>
      <c r="D299" s="352">
        <f>'PLANTILLA INV. PISO (0)'!U295</f>
        <v>0</v>
      </c>
      <c r="E299" s="132"/>
      <c r="F299" s="339">
        <f t="shared" si="16"/>
        <v>0</v>
      </c>
      <c r="G299" s="340">
        <f t="shared" si="17"/>
        <v>0</v>
      </c>
      <c r="H299" s="341">
        <f t="shared" si="18"/>
        <v>0</v>
      </c>
      <c r="I299" s="342">
        <f t="shared" si="19"/>
        <v>0</v>
      </c>
      <c r="K299" s="333">
        <f>'PLANTILLA INV. PISO (0)'!AA305</f>
        <v>0</v>
      </c>
    </row>
    <row r="300" spans="1:18" ht="15" customHeight="1" x14ac:dyDescent="0.3">
      <c r="A300" s="350">
        <f>'PLANTILLA INV. PISO (0)'!A296</f>
        <v>136247</v>
      </c>
      <c r="B300" s="350" t="str">
        <f>'PLANTILLA INV. PISO (0)'!B296</f>
        <v>2 PK (1CCSO 3LT + 1 QT3LT) Nvo</v>
      </c>
      <c r="C300" s="351">
        <f>'MODIFICAR CODIGOS '!E296</f>
        <v>2</v>
      </c>
      <c r="D300" s="352">
        <f>'PLANTILLA INV. PISO (0)'!U296</f>
        <v>99</v>
      </c>
      <c r="E300" s="132"/>
      <c r="F300" s="339">
        <f t="shared" si="16"/>
        <v>99</v>
      </c>
      <c r="G300" s="340">
        <f t="shared" si="17"/>
        <v>0</v>
      </c>
      <c r="H300" s="341">
        <f t="shared" si="18"/>
        <v>0</v>
      </c>
      <c r="I300" s="342">
        <f t="shared" si="19"/>
        <v>99</v>
      </c>
      <c r="K300" s="333">
        <f>'PLANTILLA INV. PISO (0)'!AA306</f>
        <v>0</v>
      </c>
    </row>
    <row r="301" spans="1:18" ht="15" customHeight="1" x14ac:dyDescent="0.3">
      <c r="A301" s="350">
        <f>'PLANTILLA INV. PISO (0)'!A297</f>
        <v>120196</v>
      </c>
      <c r="B301" s="350" t="str">
        <f>'PLANTILLA INV. PISO (0)'!B297</f>
        <v>3 PACK POWER SURT (NM + MB+ FT)</v>
      </c>
      <c r="C301" s="351">
        <f>'MODIFICAR CODIGOS '!E297</f>
        <v>3</v>
      </c>
      <c r="D301" s="352">
        <f>'PLANTILLA INV. PISO (0)'!U297</f>
        <v>118</v>
      </c>
      <c r="E301" s="132"/>
      <c r="F301" s="339">
        <f t="shared" si="16"/>
        <v>118</v>
      </c>
      <c r="G301" s="340">
        <f t="shared" si="17"/>
        <v>0</v>
      </c>
      <c r="H301" s="341">
        <f t="shared" si="18"/>
        <v>0</v>
      </c>
      <c r="I301" s="342">
        <f t="shared" si="19"/>
        <v>118</v>
      </c>
      <c r="K301" s="333">
        <f>'PLANTILLA INV. PISO (0)'!AA307</f>
        <v>0</v>
      </c>
    </row>
    <row r="302" spans="1:18" ht="15" customHeight="1" x14ac:dyDescent="0.3">
      <c r="A302" s="350">
        <f>'PLANTILLA INV. PISO (0)'!A298</f>
        <v>0</v>
      </c>
      <c r="B302" s="350">
        <f>'PLANTILLA INV. PISO (0)'!B298</f>
        <v>0</v>
      </c>
      <c r="C302" s="351">
        <f>'MODIFICAR CODIGOS '!E298</f>
        <v>1</v>
      </c>
      <c r="D302" s="352">
        <f>'PLANTILLA INV. PISO (0)'!U298</f>
        <v>0</v>
      </c>
      <c r="E302" s="132"/>
      <c r="F302" s="339">
        <f t="shared" si="16"/>
        <v>0</v>
      </c>
      <c r="G302" s="340">
        <f t="shared" si="17"/>
        <v>0</v>
      </c>
      <c r="H302" s="341">
        <f t="shared" si="18"/>
        <v>0</v>
      </c>
      <c r="I302" s="342">
        <f t="shared" si="19"/>
        <v>0</v>
      </c>
      <c r="K302" s="333">
        <f>'PLANTILLA INV. PISO (0)'!AA308</f>
        <v>0</v>
      </c>
    </row>
    <row r="303" spans="1:18" ht="15" customHeight="1" x14ac:dyDescent="0.3">
      <c r="A303" s="350">
        <f>'PLANTILLA INV. PISO (0)'!A299</f>
        <v>0</v>
      </c>
      <c r="B303" s="350">
        <f>'PLANTILLA INV. PISO (0)'!B299</f>
        <v>0</v>
      </c>
      <c r="C303" s="351">
        <f>'MODIFICAR CODIGOS '!E299</f>
        <v>1</v>
      </c>
      <c r="D303" s="352">
        <f>'PLANTILLA INV. PISO (0)'!U299</f>
        <v>0</v>
      </c>
      <c r="E303" s="132"/>
      <c r="F303" s="339">
        <f t="shared" si="16"/>
        <v>0</v>
      </c>
      <c r="G303" s="340">
        <f t="shared" si="17"/>
        <v>0</v>
      </c>
      <c r="H303" s="341">
        <f t="shared" si="18"/>
        <v>0</v>
      </c>
      <c r="I303" s="342">
        <f t="shared" si="19"/>
        <v>0</v>
      </c>
      <c r="K303" s="333">
        <f>'PLANTILLA INV. PISO (0)'!AA309</f>
        <v>0</v>
      </c>
    </row>
    <row r="304" spans="1:18" ht="15" customHeight="1" x14ac:dyDescent="0.3">
      <c r="A304" s="350">
        <f>'PLANTILLA INV. PISO (0)'!A300</f>
        <v>135770</v>
      </c>
      <c r="B304" s="350" t="str">
        <f>'PLANTILLA INV. PISO (0)'!B300</f>
        <v>2 PACK C.C 2,5 ZERO LTS</v>
      </c>
      <c r="C304" s="351">
        <f>'MODIFICAR CODIGOS '!E300</f>
        <v>2</v>
      </c>
      <c r="D304" s="352">
        <f>'PLANTILLA INV. PISO (0)'!U300</f>
        <v>4</v>
      </c>
      <c r="E304" s="132"/>
      <c r="F304" s="339">
        <f t="shared" si="16"/>
        <v>4</v>
      </c>
      <c r="G304" s="340">
        <f t="shared" si="17"/>
        <v>0</v>
      </c>
      <c r="H304" s="341">
        <f t="shared" si="18"/>
        <v>0</v>
      </c>
      <c r="I304" s="342">
        <f t="shared" si="19"/>
        <v>4</v>
      </c>
      <c r="K304" s="333">
        <f>'PLANTILLA INV. PISO (0)'!AA310</f>
        <v>0</v>
      </c>
    </row>
    <row r="305" spans="1:11" ht="15" customHeight="1" x14ac:dyDescent="0.3">
      <c r="A305" s="350">
        <f>'PLANTILLA INV. PISO (0)'!A301</f>
        <v>0</v>
      </c>
      <c r="B305" s="350">
        <f>'PLANTILLA INV. PISO (0)'!B301</f>
        <v>0</v>
      </c>
      <c r="C305" s="351">
        <f>'MODIFICAR CODIGOS '!E301</f>
        <v>1</v>
      </c>
      <c r="D305" s="352">
        <f>'PLANTILLA INV. PISO (0)'!U301</f>
        <v>0</v>
      </c>
      <c r="E305" s="132"/>
      <c r="F305" s="339">
        <f t="shared" si="16"/>
        <v>0</v>
      </c>
      <c r="G305" s="340">
        <f t="shared" si="17"/>
        <v>0</v>
      </c>
      <c r="H305" s="341">
        <f t="shared" si="18"/>
        <v>0</v>
      </c>
      <c r="I305" s="342">
        <f t="shared" si="19"/>
        <v>0</v>
      </c>
      <c r="K305" s="333">
        <f>'PLANTILLA INV. PISO (0)'!AA311</f>
        <v>0</v>
      </c>
    </row>
    <row r="306" spans="1:11" ht="15" customHeight="1" x14ac:dyDescent="0.3">
      <c r="A306" s="350">
        <f>'PLANTILLA INV. PISO (0)'!A302</f>
        <v>0</v>
      </c>
      <c r="B306" s="350">
        <f>'PLANTILLA INV. PISO (0)'!B302</f>
        <v>0</v>
      </c>
      <c r="C306" s="351">
        <f>'MODIFICAR CODIGOS '!E302</f>
        <v>1</v>
      </c>
      <c r="D306" s="352">
        <f>'PLANTILLA INV. PISO (0)'!U302</f>
        <v>0</v>
      </c>
      <c r="E306" s="132"/>
      <c r="F306" s="339">
        <f t="shared" si="16"/>
        <v>0</v>
      </c>
      <c r="G306" s="340">
        <f t="shared" si="17"/>
        <v>0</v>
      </c>
      <c r="H306" s="341">
        <f t="shared" si="18"/>
        <v>0</v>
      </c>
      <c r="I306" s="342">
        <f t="shared" si="19"/>
        <v>0</v>
      </c>
      <c r="K306" s="333">
        <f>'PLANTILLA INV. PISO (0)'!AA312</f>
        <v>0</v>
      </c>
    </row>
    <row r="307" spans="1:11" ht="15" customHeight="1" x14ac:dyDescent="0.3">
      <c r="A307" s="350">
        <f>'PLANTILLA INV. PISO (0)'!A303</f>
        <v>0</v>
      </c>
      <c r="B307" s="350">
        <f>'PLANTILLA INV. PISO (0)'!B303</f>
        <v>0</v>
      </c>
      <c r="C307" s="351">
        <f>'MODIFICAR CODIGOS '!E303</f>
        <v>1</v>
      </c>
      <c r="D307" s="352">
        <f>'PLANTILLA INV. PISO (0)'!U303</f>
        <v>0</v>
      </c>
      <c r="E307" s="132"/>
      <c r="F307" s="339">
        <f t="shared" si="16"/>
        <v>0</v>
      </c>
      <c r="G307" s="340">
        <f t="shared" si="17"/>
        <v>0</v>
      </c>
      <c r="H307" s="341">
        <f t="shared" si="18"/>
        <v>0</v>
      </c>
      <c r="I307" s="342">
        <f t="shared" si="19"/>
        <v>0</v>
      </c>
      <c r="K307" s="333">
        <f>'PLANTILLA INV. PISO (0)'!AA313</f>
        <v>0</v>
      </c>
    </row>
    <row r="308" spans="1:11" ht="15" customHeight="1" x14ac:dyDescent="0.3">
      <c r="A308" s="350">
        <f>'PLANTILLA INV. PISO (0)'!A304</f>
        <v>0</v>
      </c>
      <c r="B308" s="350">
        <f>'PLANTILLA INV. PISO (0)'!B304</f>
        <v>0</v>
      </c>
      <c r="C308" s="351">
        <f>'MODIFICAR CODIGOS '!E304</f>
        <v>1</v>
      </c>
      <c r="D308" s="352">
        <f>'PLANTILLA INV. PISO (0)'!U304</f>
        <v>0</v>
      </c>
      <c r="E308" s="132"/>
      <c r="F308" s="339">
        <f t="shared" si="16"/>
        <v>0</v>
      </c>
      <c r="G308" s="340">
        <f t="shared" si="17"/>
        <v>0</v>
      </c>
      <c r="H308" s="341">
        <f t="shared" si="18"/>
        <v>0</v>
      </c>
      <c r="I308" s="342">
        <f t="shared" si="19"/>
        <v>0</v>
      </c>
      <c r="K308" s="333">
        <f>'PLANTILLA INV. PISO (0)'!AA314</f>
        <v>0</v>
      </c>
    </row>
    <row r="309" spans="1:11" ht="15" customHeight="1" x14ac:dyDescent="0.3">
      <c r="A309" s="350">
        <f>'PLANTILLA INV. PISO (0)'!A305</f>
        <v>135678</v>
      </c>
      <c r="B309" s="350" t="str">
        <f>'PLANTILLA INV. PISO (0)'!B305</f>
        <v>2 PK (CCSO 3LT + SP 3LT ) Nvo</v>
      </c>
      <c r="C309" s="351">
        <f>'MODIFICAR CODIGOS '!E305</f>
        <v>2</v>
      </c>
      <c r="D309" s="352">
        <f>'PLANTILLA INV. PISO (0)'!U305</f>
        <v>6</v>
      </c>
      <c r="E309" s="132"/>
      <c r="F309" s="339">
        <f t="shared" si="16"/>
        <v>6</v>
      </c>
      <c r="G309" s="340">
        <f t="shared" si="17"/>
        <v>0</v>
      </c>
      <c r="H309" s="341">
        <f t="shared" si="18"/>
        <v>0</v>
      </c>
      <c r="I309" s="342">
        <f t="shared" si="19"/>
        <v>6</v>
      </c>
      <c r="K309" s="333">
        <f>'PLANTILLA INV. PISO (0)'!AA315</f>
        <v>0</v>
      </c>
    </row>
    <row r="310" spans="1:11" ht="15" customHeight="1" x14ac:dyDescent="0.3">
      <c r="A310" s="350" t="str">
        <f>'PLANTILLA INV. PISO (0)'!A306</f>
        <v>*</v>
      </c>
      <c r="B310" s="350">
        <f>'PLANTILLA INV. PISO (0)'!B306</f>
        <v>0</v>
      </c>
      <c r="C310" s="351">
        <f>'MODIFICAR CODIGOS '!E306</f>
        <v>1</v>
      </c>
      <c r="D310" s="352">
        <f>'PLANTILLA INV. PISO (0)'!U306</f>
        <v>0</v>
      </c>
      <c r="E310" s="132"/>
      <c r="F310" s="339">
        <f t="shared" si="16"/>
        <v>0</v>
      </c>
      <c r="G310" s="340">
        <f t="shared" si="17"/>
        <v>0</v>
      </c>
      <c r="H310" s="341">
        <f t="shared" si="18"/>
        <v>0</v>
      </c>
      <c r="I310" s="342">
        <f t="shared" si="19"/>
        <v>0</v>
      </c>
      <c r="K310" s="333">
        <f>'PLANTILLA INV. PISO (0)'!AA316</f>
        <v>0</v>
      </c>
    </row>
    <row r="311" spans="1:11" ht="15" customHeight="1" x14ac:dyDescent="0.3">
      <c r="A311" s="350">
        <f>'PLANTILLA INV. PISO (0)'!A307</f>
        <v>0</v>
      </c>
      <c r="B311" s="350">
        <f>'PLANTILLA INV. PISO (0)'!B307</f>
        <v>0</v>
      </c>
      <c r="C311" s="351">
        <f>'MODIFICAR CODIGOS '!E307</f>
        <v>1</v>
      </c>
      <c r="D311" s="352">
        <f>'PLANTILLA INV. PISO (0)'!U307</f>
        <v>0</v>
      </c>
      <c r="E311" s="132"/>
      <c r="F311" s="339">
        <f t="shared" si="16"/>
        <v>0</v>
      </c>
      <c r="G311" s="340">
        <f t="shared" si="17"/>
        <v>0</v>
      </c>
      <c r="H311" s="341">
        <f t="shared" si="18"/>
        <v>0</v>
      </c>
      <c r="I311" s="342">
        <f t="shared" si="19"/>
        <v>0</v>
      </c>
      <c r="K311" s="333">
        <f>'PLANTILLA INV. PISO (0)'!AA317</f>
        <v>0</v>
      </c>
    </row>
    <row r="312" spans="1:11" ht="15" customHeight="1" x14ac:dyDescent="0.3">
      <c r="A312" s="350">
        <f>'PLANTILLA INV. PISO (0)'!A308</f>
        <v>0</v>
      </c>
      <c r="B312" s="350">
        <f>'PLANTILLA INV. PISO (0)'!B308</f>
        <v>0</v>
      </c>
      <c r="C312" s="351">
        <f>'MODIFICAR CODIGOS '!E308</f>
        <v>1</v>
      </c>
      <c r="D312" s="352">
        <f>'PLANTILLA INV. PISO (0)'!U308</f>
        <v>0</v>
      </c>
      <c r="E312" s="132"/>
      <c r="F312" s="339">
        <f t="shared" si="16"/>
        <v>0</v>
      </c>
      <c r="G312" s="340">
        <f t="shared" si="17"/>
        <v>0</v>
      </c>
      <c r="H312" s="341">
        <f t="shared" si="18"/>
        <v>0</v>
      </c>
      <c r="I312" s="342">
        <f t="shared" si="19"/>
        <v>0</v>
      </c>
      <c r="K312" s="333">
        <f>'PLANTILLA INV. PISO (0)'!AA318</f>
        <v>0</v>
      </c>
    </row>
    <row r="313" spans="1:11" ht="15" customHeight="1" x14ac:dyDescent="0.3">
      <c r="A313" s="350">
        <f>'PLANTILLA INV. PISO (0)'!A309</f>
        <v>0</v>
      </c>
      <c r="B313" s="350">
        <f>'PLANTILLA INV. PISO (0)'!B309</f>
        <v>0</v>
      </c>
      <c r="C313" s="351">
        <f>'MODIFICAR CODIGOS '!E309</f>
        <v>1</v>
      </c>
      <c r="D313" s="352">
        <f>'PLANTILLA INV. PISO (0)'!U309</f>
        <v>0</v>
      </c>
      <c r="E313" s="132"/>
      <c r="F313" s="339">
        <f t="shared" si="16"/>
        <v>0</v>
      </c>
      <c r="G313" s="340">
        <f t="shared" si="17"/>
        <v>0</v>
      </c>
      <c r="H313" s="341">
        <f t="shared" si="18"/>
        <v>0</v>
      </c>
      <c r="I313" s="342">
        <f t="shared" si="19"/>
        <v>0</v>
      </c>
      <c r="K313" s="333">
        <f>'PLANTILLA INV. PISO (0)'!AA319</f>
        <v>0</v>
      </c>
    </row>
    <row r="314" spans="1:11" ht="15" customHeight="1" x14ac:dyDescent="0.3">
      <c r="A314" s="350">
        <f>'PLANTILLA INV. PISO (0)'!A310</f>
        <v>0</v>
      </c>
      <c r="B314" s="350">
        <f>'PLANTILLA INV. PISO (0)'!B310</f>
        <v>0</v>
      </c>
      <c r="C314" s="351">
        <f>'MODIFICAR CODIGOS '!E310</f>
        <v>3</v>
      </c>
      <c r="D314" s="352">
        <f>'PLANTILLA INV. PISO (0)'!U310</f>
        <v>0</v>
      </c>
      <c r="E314" s="132"/>
      <c r="F314" s="339">
        <f t="shared" si="16"/>
        <v>0</v>
      </c>
      <c r="G314" s="340">
        <f t="shared" si="17"/>
        <v>0</v>
      </c>
      <c r="H314" s="341">
        <f t="shared" si="18"/>
        <v>0</v>
      </c>
      <c r="I314" s="342">
        <f t="shared" si="19"/>
        <v>0</v>
      </c>
      <c r="K314" s="333">
        <f>'PLANTILLA INV. PISO (0)'!AA320</f>
        <v>0</v>
      </c>
    </row>
    <row r="315" spans="1:11" ht="15" customHeight="1" x14ac:dyDescent="0.3">
      <c r="A315" s="350">
        <f>'PLANTILLA INV. PISO (0)'!A311</f>
        <v>160201</v>
      </c>
      <c r="B315" s="350" t="str">
        <f>'PLANTILLA INV. PISO (0)'!B311</f>
        <v>6PACK CCR 250ML MINI PET</v>
      </c>
      <c r="C315" s="351">
        <f>'MODIFICAR CODIGOS '!E311</f>
        <v>6</v>
      </c>
      <c r="D315" s="352">
        <f>'PLANTILLA INV. PISO (0)'!U311</f>
        <v>50</v>
      </c>
      <c r="E315" s="132"/>
      <c r="F315" s="339">
        <f t="shared" si="16"/>
        <v>50</v>
      </c>
      <c r="G315" s="340">
        <f t="shared" si="17"/>
        <v>0</v>
      </c>
      <c r="H315" s="341">
        <f t="shared" si="18"/>
        <v>0</v>
      </c>
      <c r="I315" s="342">
        <f t="shared" si="19"/>
        <v>50</v>
      </c>
      <c r="K315" s="333">
        <f>'PLANTILLA INV. PISO (0)'!AA321</f>
        <v>0</v>
      </c>
    </row>
    <row r="316" spans="1:11" ht="15" customHeight="1" x14ac:dyDescent="0.3">
      <c r="A316" s="350" t="str">
        <f>'PLANTILLA INV. PISO (0)'!A312</f>
        <v>*</v>
      </c>
      <c r="B316" s="350">
        <f>'PLANTILLA INV. PISO (0)'!B312</f>
        <v>0</v>
      </c>
      <c r="C316" s="351">
        <f>'MODIFICAR CODIGOS '!E312</f>
        <v>1</v>
      </c>
      <c r="D316" s="352">
        <f>'PLANTILLA INV. PISO (0)'!U312</f>
        <v>0</v>
      </c>
      <c r="E316" s="132"/>
      <c r="F316" s="339">
        <f t="shared" si="16"/>
        <v>0</v>
      </c>
      <c r="G316" s="340">
        <f t="shared" si="17"/>
        <v>0</v>
      </c>
      <c r="H316" s="341">
        <f t="shared" si="18"/>
        <v>0</v>
      </c>
      <c r="I316" s="342">
        <f t="shared" si="19"/>
        <v>0</v>
      </c>
      <c r="K316" s="333">
        <f>'PLANTILLA INV. PISO (0)'!AA322</f>
        <v>0</v>
      </c>
    </row>
    <row r="317" spans="1:11" ht="15" customHeight="1" x14ac:dyDescent="0.3">
      <c r="A317" s="350">
        <f>'PLANTILLA INV. PISO (0)'!A313</f>
        <v>0</v>
      </c>
      <c r="B317" s="350">
        <f>'PLANTILLA INV. PISO (0)'!B313</f>
        <v>0</v>
      </c>
      <c r="C317" s="351">
        <f>'MODIFICAR CODIGOS '!E313</f>
        <v>1</v>
      </c>
      <c r="D317" s="352">
        <f>'PLANTILLA INV. PISO (0)'!U313</f>
        <v>0</v>
      </c>
      <c r="E317" s="132"/>
      <c r="F317" s="339">
        <f t="shared" si="16"/>
        <v>0</v>
      </c>
      <c r="G317" s="340">
        <f t="shared" si="17"/>
        <v>0</v>
      </c>
      <c r="H317" s="341">
        <f t="shared" si="18"/>
        <v>0</v>
      </c>
      <c r="I317" s="342">
        <f t="shared" si="19"/>
        <v>0</v>
      </c>
      <c r="K317" s="333">
        <f>'PLANTILLA INV. PISO (0)'!AA323</f>
        <v>0</v>
      </c>
    </row>
    <row r="318" spans="1:11" ht="15" customHeight="1" x14ac:dyDescent="0.3">
      <c r="A318" s="350">
        <f>'PLANTILLA INV. PISO (0)'!A314</f>
        <v>136402</v>
      </c>
      <c r="B318" s="350" t="str">
        <f>'PLANTILLA INV. PISO (0)'!B314</f>
        <v>6 PACK CC 269 lata</v>
      </c>
      <c r="C318" s="351">
        <f>'MODIFICAR CODIGOS '!E314</f>
        <v>1</v>
      </c>
      <c r="D318" s="352">
        <f>'PLANTILLA INV. PISO (0)'!U314</f>
        <v>0</v>
      </c>
      <c r="E318" s="132"/>
      <c r="F318" s="339">
        <f t="shared" si="16"/>
        <v>0</v>
      </c>
      <c r="G318" s="340">
        <f t="shared" si="17"/>
        <v>0</v>
      </c>
      <c r="H318" s="341">
        <f t="shared" si="18"/>
        <v>0</v>
      </c>
      <c r="I318" s="342">
        <f t="shared" si="19"/>
        <v>0</v>
      </c>
      <c r="K318" s="333">
        <f>'PLANTILLA INV. PISO (0)'!AA324</f>
        <v>0</v>
      </c>
    </row>
    <row r="319" spans="1:11" ht="15" customHeight="1" x14ac:dyDescent="0.3">
      <c r="A319" s="350">
        <f>'PLANTILLA INV. PISO (0)'!A315</f>
        <v>0</v>
      </c>
      <c r="B319" s="350">
        <f>'PLANTILLA INV. PISO (0)'!B315</f>
        <v>0</v>
      </c>
      <c r="C319" s="351">
        <f>'MODIFICAR CODIGOS '!E315</f>
        <v>1</v>
      </c>
      <c r="D319" s="352">
        <f>'PLANTILLA INV. PISO (0)'!U315</f>
        <v>0</v>
      </c>
      <c r="E319" s="132"/>
      <c r="F319" s="339">
        <f t="shared" si="16"/>
        <v>0</v>
      </c>
      <c r="G319" s="340">
        <f t="shared" si="17"/>
        <v>0</v>
      </c>
      <c r="H319" s="341">
        <f t="shared" si="18"/>
        <v>0</v>
      </c>
      <c r="I319" s="342">
        <f t="shared" si="19"/>
        <v>0</v>
      </c>
      <c r="K319" s="333">
        <f>'PLANTILLA INV. PISO (0)'!AA325</f>
        <v>0</v>
      </c>
    </row>
    <row r="320" spans="1:11" ht="15" customHeight="1" x14ac:dyDescent="0.3">
      <c r="A320" s="350">
        <f>'PLANTILLA INV. PISO (0)'!A316</f>
        <v>0</v>
      </c>
      <c r="B320" s="350">
        <f>'PLANTILLA INV. PISO (0)'!B316</f>
        <v>0</v>
      </c>
      <c r="C320" s="351">
        <f>'MODIFICAR CODIGOS '!E316</f>
        <v>1</v>
      </c>
      <c r="D320" s="352">
        <f>'PLANTILLA INV. PISO (0)'!U316</f>
        <v>0</v>
      </c>
      <c r="E320" s="132"/>
      <c r="F320" s="339">
        <f t="shared" si="16"/>
        <v>0</v>
      </c>
      <c r="G320" s="340">
        <f t="shared" si="17"/>
        <v>0</v>
      </c>
      <c r="H320" s="341">
        <f t="shared" si="18"/>
        <v>0</v>
      </c>
      <c r="I320" s="342">
        <f t="shared" si="19"/>
        <v>0</v>
      </c>
      <c r="K320" s="333">
        <f>'PLANTILLA INV. PISO (0)'!AA326</f>
        <v>0</v>
      </c>
    </row>
    <row r="321" spans="1:11" ht="15" customHeight="1" x14ac:dyDescent="0.3">
      <c r="A321" s="350">
        <f>'PLANTILLA INV. PISO (0)'!A317</f>
        <v>0</v>
      </c>
      <c r="B321" s="350">
        <f>'PLANTILLA INV. PISO (0)'!B317</f>
        <v>0</v>
      </c>
      <c r="C321" s="351">
        <f>'MODIFICAR CODIGOS '!E317</f>
        <v>1</v>
      </c>
      <c r="D321" s="352">
        <f>'PLANTILLA INV. PISO (0)'!U317</f>
        <v>0</v>
      </c>
      <c r="E321" s="132"/>
      <c r="F321" s="339">
        <f t="shared" si="16"/>
        <v>0</v>
      </c>
      <c r="G321" s="340">
        <f t="shared" si="17"/>
        <v>0</v>
      </c>
      <c r="H321" s="341">
        <f t="shared" si="18"/>
        <v>0</v>
      </c>
      <c r="I321" s="342">
        <f t="shared" si="19"/>
        <v>0</v>
      </c>
      <c r="K321" s="333">
        <f>'PLANTILLA INV. PISO (0)'!AA327</f>
        <v>0</v>
      </c>
    </row>
    <row r="322" spans="1:11" ht="15" customHeight="1" x14ac:dyDescent="0.3">
      <c r="A322" s="350">
        <f>'PLANTILLA INV. PISO (0)'!A318</f>
        <v>135675</v>
      </c>
      <c r="B322" s="350" t="str">
        <f>'PLANTILLA INV. PISO (0)'!B318</f>
        <v xml:space="preserve">COMBO AHORRO CCSO 3LT </v>
      </c>
      <c r="C322" s="351">
        <f>'MODIFICAR CODIGOS '!E318</f>
        <v>1</v>
      </c>
      <c r="D322" s="352">
        <f>'PLANTILLA INV. PISO (0)'!U318</f>
        <v>0</v>
      </c>
      <c r="E322" s="132"/>
      <c r="F322" s="339">
        <f t="shared" si="16"/>
        <v>0</v>
      </c>
      <c r="G322" s="340">
        <f t="shared" si="17"/>
        <v>0</v>
      </c>
      <c r="H322" s="341">
        <f t="shared" si="18"/>
        <v>0</v>
      </c>
      <c r="I322" s="342">
        <f t="shared" si="19"/>
        <v>0</v>
      </c>
      <c r="K322" s="333">
        <f>'PLANTILLA INV. PISO (0)'!AA328</f>
        <v>0</v>
      </c>
    </row>
    <row r="323" spans="1:11" ht="15" customHeight="1" x14ac:dyDescent="0.3">
      <c r="A323" s="350">
        <f>'PLANTILLA INV. PISO (0)'!A319</f>
        <v>0</v>
      </c>
      <c r="B323" s="350">
        <f>'PLANTILLA INV. PISO (0)'!B319</f>
        <v>0</v>
      </c>
      <c r="C323" s="351">
        <f>'MODIFICAR CODIGOS '!E319</f>
        <v>1</v>
      </c>
      <c r="D323" s="352">
        <f>'PLANTILLA INV. PISO (0)'!U319</f>
        <v>0</v>
      </c>
      <c r="E323" s="132"/>
      <c r="F323" s="339">
        <f t="shared" si="16"/>
        <v>0</v>
      </c>
      <c r="G323" s="340">
        <f t="shared" si="17"/>
        <v>0</v>
      </c>
      <c r="H323" s="341">
        <f t="shared" si="18"/>
        <v>0</v>
      </c>
      <c r="I323" s="342">
        <f t="shared" si="19"/>
        <v>0</v>
      </c>
      <c r="K323" s="333">
        <f>'PLANTILLA INV. PISO (0)'!AA329</f>
        <v>0</v>
      </c>
    </row>
    <row r="324" spans="1:11" ht="15" customHeight="1" x14ac:dyDescent="0.3">
      <c r="A324" s="350">
        <f>'PLANTILLA INV. PISO (0)'!A320</f>
        <v>0</v>
      </c>
      <c r="B324" s="350">
        <f>'PLANTILLA INV. PISO (0)'!B320</f>
        <v>0</v>
      </c>
      <c r="C324" s="351">
        <f>'MODIFICAR CODIGOS '!E320</f>
        <v>1</v>
      </c>
      <c r="D324" s="352">
        <f>'PLANTILLA INV. PISO (0)'!U320</f>
        <v>0</v>
      </c>
      <c r="E324" s="132"/>
      <c r="F324" s="339">
        <f t="shared" si="16"/>
        <v>0</v>
      </c>
      <c r="G324" s="340">
        <f t="shared" si="17"/>
        <v>0</v>
      </c>
      <c r="H324" s="341">
        <f t="shared" si="18"/>
        <v>0</v>
      </c>
      <c r="I324" s="342">
        <f t="shared" si="19"/>
        <v>0</v>
      </c>
      <c r="K324" s="333">
        <f>'PLANTILLA INV. PISO (0)'!AA330</f>
        <v>0</v>
      </c>
    </row>
    <row r="325" spans="1:11" ht="15" customHeight="1" x14ac:dyDescent="0.3">
      <c r="A325" s="350">
        <f>'PLANTILLA INV. PISO (0)'!A321</f>
        <v>0</v>
      </c>
      <c r="B325" s="350">
        <f>'PLANTILLA INV. PISO (0)'!B321</f>
        <v>0</v>
      </c>
      <c r="C325" s="351">
        <f>'MODIFICAR CODIGOS '!E321</f>
        <v>1</v>
      </c>
      <c r="D325" s="352">
        <f>'PLANTILLA INV. PISO (0)'!U321</f>
        <v>0</v>
      </c>
      <c r="E325" s="132"/>
      <c r="F325" s="339">
        <f t="shared" si="16"/>
        <v>0</v>
      </c>
      <c r="G325" s="340">
        <f t="shared" si="17"/>
        <v>0</v>
      </c>
      <c r="H325" s="341">
        <f t="shared" si="18"/>
        <v>0</v>
      </c>
      <c r="I325" s="342">
        <f t="shared" si="19"/>
        <v>0</v>
      </c>
      <c r="K325" s="333">
        <f>'PLANTILLA INV. PISO (0)'!AA331</f>
        <v>0</v>
      </c>
    </row>
    <row r="326" spans="1:11" ht="15" customHeight="1" x14ac:dyDescent="0.3">
      <c r="A326" s="350">
        <f>'PLANTILLA INV. PISO (0)'!A322</f>
        <v>0</v>
      </c>
      <c r="B326" s="350">
        <f>'PLANTILLA INV. PISO (0)'!B322</f>
        <v>0</v>
      </c>
      <c r="C326" s="351">
        <f>'MODIFICAR CODIGOS '!E322</f>
        <v>1</v>
      </c>
      <c r="D326" s="352">
        <f>'PLANTILLA INV. PISO (0)'!U322</f>
        <v>0</v>
      </c>
      <c r="E326" s="132"/>
      <c r="F326" s="339">
        <f t="shared" si="16"/>
        <v>0</v>
      </c>
      <c r="G326" s="340">
        <f t="shared" si="17"/>
        <v>0</v>
      </c>
      <c r="H326" s="341">
        <f t="shared" si="18"/>
        <v>0</v>
      </c>
      <c r="I326" s="342">
        <f t="shared" si="19"/>
        <v>0</v>
      </c>
      <c r="K326" s="333">
        <f>'PLANTILLA INV. PISO (0)'!AA332</f>
        <v>0</v>
      </c>
    </row>
    <row r="327" spans="1:11" ht="15" customHeight="1" x14ac:dyDescent="0.3">
      <c r="A327" s="350">
        <f>'PLANTILLA INV. PISO (0)'!A323</f>
        <v>0</v>
      </c>
      <c r="B327" s="350">
        <f>'PLANTILLA INV. PISO (0)'!B323</f>
        <v>0</v>
      </c>
      <c r="C327" s="351">
        <f>'MODIFICAR CODIGOS '!E323</f>
        <v>1</v>
      </c>
      <c r="D327" s="352">
        <f>'PLANTILLA INV. PISO (0)'!U323</f>
        <v>0</v>
      </c>
      <c r="E327" s="132"/>
      <c r="F327" s="339">
        <f t="shared" ref="F327:F390" si="20">ROUNDDOWN(D327,0)</f>
        <v>0</v>
      </c>
      <c r="G327" s="340">
        <f t="shared" ref="G327:G390" si="21">+(D327-F327)*100</f>
        <v>0</v>
      </c>
      <c r="H327" s="341">
        <f t="shared" ref="H327:H390" si="22">G327/C327</f>
        <v>0</v>
      </c>
      <c r="I327" s="342">
        <f t="shared" ref="I327:I390" si="23">F327+H327</f>
        <v>0</v>
      </c>
      <c r="K327" s="333">
        <f>'PLANTILLA INV. PISO (0)'!AA333</f>
        <v>0</v>
      </c>
    </row>
    <row r="328" spans="1:11" ht="15" customHeight="1" x14ac:dyDescent="0.3">
      <c r="A328" s="350">
        <f>'PLANTILLA INV. PISO (0)'!A324</f>
        <v>0</v>
      </c>
      <c r="B328" s="350">
        <f>'PLANTILLA INV. PISO (0)'!B324</f>
        <v>0</v>
      </c>
      <c r="C328" s="351">
        <f>'MODIFICAR CODIGOS '!E324</f>
        <v>1</v>
      </c>
      <c r="D328" s="352">
        <f>'PLANTILLA INV. PISO (0)'!U324</f>
        <v>0</v>
      </c>
      <c r="E328" s="132"/>
      <c r="F328" s="339">
        <f t="shared" si="20"/>
        <v>0</v>
      </c>
      <c r="G328" s="340">
        <f t="shared" si="21"/>
        <v>0</v>
      </c>
      <c r="H328" s="341">
        <f t="shared" si="22"/>
        <v>0</v>
      </c>
      <c r="I328" s="342">
        <f t="shared" si="23"/>
        <v>0</v>
      </c>
      <c r="K328" s="333">
        <f>'PLANTILLA INV. PISO (0)'!AA334</f>
        <v>0</v>
      </c>
    </row>
    <row r="329" spans="1:11" ht="15" customHeight="1" x14ac:dyDescent="0.3">
      <c r="A329" s="350">
        <f>'PLANTILLA INV. PISO (0)'!A325</f>
        <v>0</v>
      </c>
      <c r="B329" s="350">
        <f>'PLANTILLA INV. PISO (0)'!B325</f>
        <v>0</v>
      </c>
      <c r="C329" s="351">
        <f>'MODIFICAR CODIGOS '!E325</f>
        <v>1</v>
      </c>
      <c r="D329" s="352">
        <f>'PLANTILLA INV. PISO (0)'!U325</f>
        <v>0</v>
      </c>
      <c r="E329" s="132"/>
      <c r="F329" s="339">
        <f t="shared" si="20"/>
        <v>0</v>
      </c>
      <c r="G329" s="340">
        <f t="shared" si="21"/>
        <v>0</v>
      </c>
      <c r="H329" s="341">
        <f t="shared" si="22"/>
        <v>0</v>
      </c>
      <c r="I329" s="342">
        <f t="shared" si="23"/>
        <v>0</v>
      </c>
      <c r="K329" s="333">
        <f>'PLANTILLA INV. PISO (0)'!AA335</f>
        <v>0</v>
      </c>
    </row>
    <row r="330" spans="1:11" ht="15" customHeight="1" x14ac:dyDescent="0.3">
      <c r="A330" s="350">
        <f>'PLANTILLA INV. PISO (0)'!A326</f>
        <v>0</v>
      </c>
      <c r="B330" s="350">
        <f>'PLANTILLA INV. PISO (0)'!B326</f>
        <v>0</v>
      </c>
      <c r="C330" s="351">
        <f>'MODIFICAR CODIGOS '!E326</f>
        <v>1</v>
      </c>
      <c r="D330" s="352">
        <f>'PLANTILLA INV. PISO (0)'!U326</f>
        <v>0</v>
      </c>
      <c r="E330" s="132"/>
      <c r="F330" s="339">
        <f t="shared" si="20"/>
        <v>0</v>
      </c>
      <c r="G330" s="340">
        <f t="shared" si="21"/>
        <v>0</v>
      </c>
      <c r="H330" s="341">
        <f t="shared" si="22"/>
        <v>0</v>
      </c>
      <c r="I330" s="342">
        <f t="shared" si="23"/>
        <v>0</v>
      </c>
      <c r="K330" s="333">
        <f>'PLANTILLA INV. PISO (0)'!AA336</f>
        <v>0</v>
      </c>
    </row>
    <row r="331" spans="1:11" ht="15" customHeight="1" x14ac:dyDescent="0.3">
      <c r="A331" s="350">
        <f>'PLANTILLA INV. PISO (0)'!A327</f>
        <v>0</v>
      </c>
      <c r="B331" s="350">
        <f>'PLANTILLA INV. PISO (0)'!B327</f>
        <v>0</v>
      </c>
      <c r="C331" s="351">
        <f>'MODIFICAR CODIGOS '!E327</f>
        <v>1</v>
      </c>
      <c r="D331" s="352">
        <f>'PLANTILLA INV. PISO (0)'!U327</f>
        <v>0</v>
      </c>
      <c r="E331" s="132"/>
      <c r="F331" s="339">
        <f t="shared" si="20"/>
        <v>0</v>
      </c>
      <c r="G331" s="340">
        <f t="shared" si="21"/>
        <v>0</v>
      </c>
      <c r="H331" s="341">
        <f t="shared" si="22"/>
        <v>0</v>
      </c>
      <c r="I331" s="342">
        <f t="shared" si="23"/>
        <v>0</v>
      </c>
      <c r="K331" s="333">
        <f>'PLANTILLA INV. PISO (0)'!AA337</f>
        <v>0</v>
      </c>
    </row>
    <row r="332" spans="1:11" ht="15" customHeight="1" x14ac:dyDescent="0.3">
      <c r="A332" s="350">
        <f>'PLANTILLA INV. PISO (0)'!A328</f>
        <v>0</v>
      </c>
      <c r="B332" s="350">
        <f>'PLANTILLA INV. PISO (0)'!B328</f>
        <v>0</v>
      </c>
      <c r="C332" s="351">
        <f>'MODIFICAR CODIGOS '!E328</f>
        <v>1</v>
      </c>
      <c r="D332" s="352">
        <f>'PLANTILLA INV. PISO (0)'!U328</f>
        <v>0</v>
      </c>
      <c r="E332" s="132"/>
      <c r="F332" s="339">
        <f t="shared" si="20"/>
        <v>0</v>
      </c>
      <c r="G332" s="340">
        <f t="shared" si="21"/>
        <v>0</v>
      </c>
      <c r="H332" s="341">
        <f t="shared" si="22"/>
        <v>0</v>
      </c>
      <c r="I332" s="342">
        <f t="shared" si="23"/>
        <v>0</v>
      </c>
      <c r="K332" s="333">
        <f>'PLANTILLA INV. PISO (0)'!AA338</f>
        <v>0</v>
      </c>
    </row>
    <row r="333" spans="1:11" ht="15" customHeight="1" x14ac:dyDescent="0.3">
      <c r="A333" s="350">
        <f>'PLANTILLA INV. PISO (0)'!A329</f>
        <v>0</v>
      </c>
      <c r="B333" s="350">
        <f>'PLANTILLA INV. PISO (0)'!B329</f>
        <v>0</v>
      </c>
      <c r="C333" s="351">
        <f>'MODIFICAR CODIGOS '!E329</f>
        <v>1</v>
      </c>
      <c r="D333" s="352">
        <f>'PLANTILLA INV. PISO (0)'!U329</f>
        <v>0</v>
      </c>
      <c r="E333" s="132"/>
      <c r="F333" s="339">
        <f t="shared" si="20"/>
        <v>0</v>
      </c>
      <c r="G333" s="340">
        <f t="shared" si="21"/>
        <v>0</v>
      </c>
      <c r="H333" s="341">
        <f t="shared" si="22"/>
        <v>0</v>
      </c>
      <c r="I333" s="342">
        <f t="shared" si="23"/>
        <v>0</v>
      </c>
      <c r="K333" s="333">
        <f>'PLANTILLA INV. PISO (0)'!AA339</f>
        <v>0</v>
      </c>
    </row>
    <row r="334" spans="1:11" ht="15" customHeight="1" x14ac:dyDescent="0.3">
      <c r="A334" s="350">
        <f>'PLANTILLA INV. PISO (0)'!A330</f>
        <v>0</v>
      </c>
      <c r="B334" s="350">
        <f>'PLANTILLA INV. PISO (0)'!B330</f>
        <v>0</v>
      </c>
      <c r="C334" s="351">
        <f>'MODIFICAR CODIGOS '!E330</f>
        <v>1</v>
      </c>
      <c r="D334" s="352">
        <f>'PLANTILLA INV. PISO (0)'!U330</f>
        <v>0</v>
      </c>
      <c r="E334" s="132"/>
      <c r="F334" s="339">
        <f t="shared" si="20"/>
        <v>0</v>
      </c>
      <c r="G334" s="340">
        <f t="shared" si="21"/>
        <v>0</v>
      </c>
      <c r="H334" s="341">
        <f t="shared" si="22"/>
        <v>0</v>
      </c>
      <c r="I334" s="342">
        <f t="shared" si="23"/>
        <v>0</v>
      </c>
      <c r="K334" s="333">
        <f>'PLANTILLA INV. PISO (0)'!AA340</f>
        <v>0</v>
      </c>
    </row>
    <row r="335" spans="1:11" ht="15" customHeight="1" x14ac:dyDescent="0.3">
      <c r="A335" s="350">
        <f>'PLANTILLA INV. PISO (0)'!A331</f>
        <v>0</v>
      </c>
      <c r="B335" s="350">
        <f>'PLANTILLA INV. PISO (0)'!B331</f>
        <v>0</v>
      </c>
      <c r="C335" s="351">
        <f>'MODIFICAR CODIGOS '!E331</f>
        <v>1</v>
      </c>
      <c r="D335" s="352">
        <f>'PLANTILLA INV. PISO (0)'!U331</f>
        <v>0</v>
      </c>
      <c r="E335" s="132"/>
      <c r="F335" s="339">
        <f t="shared" si="20"/>
        <v>0</v>
      </c>
      <c r="G335" s="340">
        <f t="shared" si="21"/>
        <v>0</v>
      </c>
      <c r="H335" s="341">
        <f t="shared" si="22"/>
        <v>0</v>
      </c>
      <c r="I335" s="342">
        <f t="shared" si="23"/>
        <v>0</v>
      </c>
      <c r="K335" s="333">
        <f>'PLANTILLA INV. PISO (0)'!AA341</f>
        <v>0</v>
      </c>
    </row>
    <row r="336" spans="1:11" ht="15" customHeight="1" x14ac:dyDescent="0.3">
      <c r="A336" s="350">
        <f>'PLANTILLA INV. PISO (0)'!A332</f>
        <v>0</v>
      </c>
      <c r="B336" s="350">
        <f>'PLANTILLA INV. PISO (0)'!B332</f>
        <v>0</v>
      </c>
      <c r="C336" s="351">
        <f>'MODIFICAR CODIGOS '!E332</f>
        <v>1</v>
      </c>
      <c r="D336" s="352">
        <f>'PLANTILLA INV. PISO (0)'!U332</f>
        <v>0</v>
      </c>
      <c r="E336" s="132"/>
      <c r="F336" s="339">
        <f t="shared" si="20"/>
        <v>0</v>
      </c>
      <c r="G336" s="340">
        <f t="shared" si="21"/>
        <v>0</v>
      </c>
      <c r="H336" s="341">
        <f t="shared" si="22"/>
        <v>0</v>
      </c>
      <c r="I336" s="342">
        <f t="shared" si="23"/>
        <v>0</v>
      </c>
      <c r="K336" s="333">
        <f>'PLANTILLA INV. PISO (0)'!AA342</f>
        <v>0</v>
      </c>
    </row>
    <row r="337" spans="1:11" ht="15" customHeight="1" x14ac:dyDescent="0.3">
      <c r="A337" s="350">
        <f>'PLANTILLA INV. PISO (0)'!A333</f>
        <v>0</v>
      </c>
      <c r="B337" s="350">
        <f>'PLANTILLA INV. PISO (0)'!B333</f>
        <v>0</v>
      </c>
      <c r="C337" s="351">
        <f>'MODIFICAR CODIGOS '!E333</f>
        <v>1</v>
      </c>
      <c r="D337" s="352">
        <f>'PLANTILLA INV. PISO (0)'!U333</f>
        <v>0</v>
      </c>
      <c r="E337" s="132"/>
      <c r="F337" s="339">
        <f t="shared" si="20"/>
        <v>0</v>
      </c>
      <c r="G337" s="340">
        <f t="shared" si="21"/>
        <v>0</v>
      </c>
      <c r="H337" s="341">
        <f t="shared" si="22"/>
        <v>0</v>
      </c>
      <c r="I337" s="342">
        <f t="shared" si="23"/>
        <v>0</v>
      </c>
      <c r="K337" s="333">
        <f>'PLANTILLA INV. PISO (0)'!AA343</f>
        <v>0</v>
      </c>
    </row>
    <row r="338" spans="1:11" ht="15" customHeight="1" x14ac:dyDescent="0.3">
      <c r="A338" s="350">
        <f>'PLANTILLA INV. PISO (0)'!A334</f>
        <v>0</v>
      </c>
      <c r="B338" s="350">
        <f>'PLANTILLA INV. PISO (0)'!B334</f>
        <v>0</v>
      </c>
      <c r="C338" s="351">
        <f>'MODIFICAR CODIGOS '!E334</f>
        <v>1</v>
      </c>
      <c r="D338" s="352">
        <f>'PLANTILLA INV. PISO (0)'!U334</f>
        <v>0</v>
      </c>
      <c r="E338" s="132"/>
      <c r="F338" s="339">
        <f t="shared" si="20"/>
        <v>0</v>
      </c>
      <c r="G338" s="340">
        <f t="shared" si="21"/>
        <v>0</v>
      </c>
      <c r="H338" s="341">
        <f t="shared" si="22"/>
        <v>0</v>
      </c>
      <c r="I338" s="342">
        <f t="shared" si="23"/>
        <v>0</v>
      </c>
      <c r="K338" s="333">
        <f>'PLANTILLA INV. PISO (0)'!AA344</f>
        <v>0</v>
      </c>
    </row>
    <row r="339" spans="1:11" ht="15" customHeight="1" x14ac:dyDescent="0.3">
      <c r="A339" s="350">
        <f>'PLANTILLA INV. PISO (0)'!A335</f>
        <v>0</v>
      </c>
      <c r="B339" s="350">
        <f>'PLANTILLA INV. PISO (0)'!B335</f>
        <v>0</v>
      </c>
      <c r="C339" s="351">
        <f>'MODIFICAR CODIGOS '!E335</f>
        <v>1</v>
      </c>
      <c r="D339" s="352">
        <f>'PLANTILLA INV. PISO (0)'!U335</f>
        <v>0</v>
      </c>
      <c r="E339" s="132"/>
      <c r="F339" s="339">
        <f t="shared" si="20"/>
        <v>0</v>
      </c>
      <c r="G339" s="340">
        <f t="shared" si="21"/>
        <v>0</v>
      </c>
      <c r="H339" s="341">
        <f t="shared" si="22"/>
        <v>0</v>
      </c>
      <c r="I339" s="342">
        <f t="shared" si="23"/>
        <v>0</v>
      </c>
      <c r="K339" s="333">
        <f>'PLANTILLA INV. PISO (0)'!AA345</f>
        <v>0</v>
      </c>
    </row>
    <row r="340" spans="1:11" ht="15" customHeight="1" x14ac:dyDescent="0.3">
      <c r="A340" s="350">
        <f>'PLANTILLA INV. PISO (0)'!A336</f>
        <v>0</v>
      </c>
      <c r="B340" s="350">
        <f>'PLANTILLA INV. PISO (0)'!B336</f>
        <v>0</v>
      </c>
      <c r="C340" s="351">
        <f>'MODIFICAR CODIGOS '!E336</f>
        <v>1</v>
      </c>
      <c r="D340" s="352">
        <f>'PLANTILLA INV. PISO (0)'!U336</f>
        <v>0</v>
      </c>
      <c r="E340" s="132"/>
      <c r="F340" s="339">
        <f t="shared" si="20"/>
        <v>0</v>
      </c>
      <c r="G340" s="340">
        <f t="shared" si="21"/>
        <v>0</v>
      </c>
      <c r="H340" s="341">
        <f t="shared" si="22"/>
        <v>0</v>
      </c>
      <c r="I340" s="342">
        <f t="shared" si="23"/>
        <v>0</v>
      </c>
      <c r="K340" s="333">
        <f>'PLANTILLA INV. PISO (0)'!AA346</f>
        <v>0</v>
      </c>
    </row>
    <row r="341" spans="1:11" ht="15" customHeight="1" x14ac:dyDescent="0.3">
      <c r="A341" s="350">
        <f>'PLANTILLA INV. PISO (0)'!A337</f>
        <v>0</v>
      </c>
      <c r="B341" s="350">
        <f>'PLANTILLA INV. PISO (0)'!B337</f>
        <v>0</v>
      </c>
      <c r="C341" s="351">
        <f>'MODIFICAR CODIGOS '!E337</f>
        <v>1</v>
      </c>
      <c r="D341" s="352">
        <f>'PLANTILLA INV. PISO (0)'!U337</f>
        <v>0</v>
      </c>
      <c r="E341" s="132"/>
      <c r="F341" s="339">
        <f t="shared" si="20"/>
        <v>0</v>
      </c>
      <c r="G341" s="340">
        <f t="shared" si="21"/>
        <v>0</v>
      </c>
      <c r="H341" s="341">
        <f t="shared" si="22"/>
        <v>0</v>
      </c>
      <c r="I341" s="342">
        <f t="shared" si="23"/>
        <v>0</v>
      </c>
      <c r="K341" s="333">
        <f>'PLANTILLA INV. PISO (0)'!AA347</f>
        <v>0</v>
      </c>
    </row>
    <row r="342" spans="1:11" ht="15" customHeight="1" x14ac:dyDescent="0.3">
      <c r="A342" s="350">
        <f>'PLANTILLA INV. PISO (0)'!A338</f>
        <v>0</v>
      </c>
      <c r="B342" s="350">
        <f>'PLANTILLA INV. PISO (0)'!B338</f>
        <v>0</v>
      </c>
      <c r="C342" s="351">
        <f>'MODIFICAR CODIGOS '!E338</f>
        <v>1</v>
      </c>
      <c r="D342" s="352">
        <f>'PLANTILLA INV. PISO (0)'!U338</f>
        <v>0</v>
      </c>
      <c r="E342" s="132"/>
      <c r="F342" s="339">
        <f t="shared" si="20"/>
        <v>0</v>
      </c>
      <c r="G342" s="340">
        <f t="shared" si="21"/>
        <v>0</v>
      </c>
      <c r="H342" s="341">
        <f t="shared" si="22"/>
        <v>0</v>
      </c>
      <c r="I342" s="342">
        <f t="shared" si="23"/>
        <v>0</v>
      </c>
      <c r="K342" s="333">
        <f>'PLANTILLA INV. PISO (0)'!AA348</f>
        <v>0</v>
      </c>
    </row>
    <row r="343" spans="1:11" ht="15" customHeight="1" x14ac:dyDescent="0.3">
      <c r="A343" s="350">
        <f>'PLANTILLA INV. PISO (0)'!A339</f>
        <v>0</v>
      </c>
      <c r="B343" s="350">
        <f>'PLANTILLA INV. PISO (0)'!B339</f>
        <v>0</v>
      </c>
      <c r="C343" s="351">
        <f>'MODIFICAR CODIGOS '!E339</f>
        <v>1</v>
      </c>
      <c r="D343" s="352">
        <f>'PLANTILLA INV. PISO (0)'!U339</f>
        <v>0</v>
      </c>
      <c r="E343" s="132"/>
      <c r="F343" s="339">
        <f t="shared" si="20"/>
        <v>0</v>
      </c>
      <c r="G343" s="340">
        <f t="shared" si="21"/>
        <v>0</v>
      </c>
      <c r="H343" s="341">
        <f t="shared" si="22"/>
        <v>0</v>
      </c>
      <c r="I343" s="342">
        <f t="shared" si="23"/>
        <v>0</v>
      </c>
      <c r="K343" s="333">
        <f>'PLANTILLA INV. PISO (0)'!AA349</f>
        <v>0</v>
      </c>
    </row>
    <row r="344" spans="1:11" ht="15" customHeight="1" x14ac:dyDescent="0.3">
      <c r="A344" s="350" t="str">
        <f>'PLANTILLA INV. PISO (0)'!A340</f>
        <v>*</v>
      </c>
      <c r="B344" s="350">
        <f>'PLANTILLA INV. PISO (0)'!B340</f>
        <v>0</v>
      </c>
      <c r="C344" s="351">
        <f>'MODIFICAR CODIGOS '!E340</f>
        <v>1</v>
      </c>
      <c r="D344" s="352">
        <f>'PLANTILLA INV. PISO (0)'!U340</f>
        <v>0</v>
      </c>
      <c r="E344" s="132"/>
      <c r="F344" s="339">
        <f t="shared" si="20"/>
        <v>0</v>
      </c>
      <c r="G344" s="340">
        <f t="shared" si="21"/>
        <v>0</v>
      </c>
      <c r="H344" s="341">
        <f t="shared" si="22"/>
        <v>0</v>
      </c>
      <c r="I344" s="342">
        <f t="shared" si="23"/>
        <v>0</v>
      </c>
      <c r="K344" s="333">
        <f>'PLANTILLA INV. PISO (0)'!AA350</f>
        <v>0</v>
      </c>
    </row>
    <row r="345" spans="1:11" ht="15" customHeight="1" x14ac:dyDescent="0.3">
      <c r="A345" s="350">
        <f>'PLANTILLA INV. PISO (0)'!A341</f>
        <v>0</v>
      </c>
      <c r="B345" s="350">
        <f>'PLANTILLA INV. PISO (0)'!B341</f>
        <v>0</v>
      </c>
      <c r="C345" s="351">
        <f>'MODIFICAR CODIGOS '!E341</f>
        <v>6</v>
      </c>
      <c r="D345" s="352">
        <f>'PLANTILLA INV. PISO (0)'!U341</f>
        <v>0</v>
      </c>
      <c r="E345" s="132"/>
      <c r="F345" s="339">
        <f t="shared" si="20"/>
        <v>0</v>
      </c>
      <c r="G345" s="340">
        <f t="shared" si="21"/>
        <v>0</v>
      </c>
      <c r="H345" s="341">
        <f t="shared" si="22"/>
        <v>0</v>
      </c>
      <c r="I345" s="342">
        <f t="shared" si="23"/>
        <v>0</v>
      </c>
      <c r="K345" s="333">
        <f>'PLANTILLA INV. PISO (0)'!AA351</f>
        <v>0</v>
      </c>
    </row>
    <row r="346" spans="1:11" ht="15" customHeight="1" x14ac:dyDescent="0.3">
      <c r="A346" s="350">
        <f>'PLANTILLA INV. PISO (0)'!A342</f>
        <v>160289</v>
      </c>
      <c r="B346" s="350" t="str">
        <f>'PLANTILLA INV. PISO (0)'!B342</f>
        <v>6 PACK BRISA 280 PET</v>
      </c>
      <c r="C346" s="351">
        <f>'MODIFICAR CODIGOS '!E342</f>
        <v>6</v>
      </c>
      <c r="D346" s="352">
        <f>'PLANTILLA INV. PISO (0)'!U342</f>
        <v>30</v>
      </c>
      <c r="E346" s="132"/>
      <c r="F346" s="339">
        <f t="shared" si="20"/>
        <v>30</v>
      </c>
      <c r="G346" s="340">
        <f t="shared" si="21"/>
        <v>0</v>
      </c>
      <c r="H346" s="341">
        <f t="shared" si="22"/>
        <v>0</v>
      </c>
      <c r="I346" s="342">
        <f t="shared" si="23"/>
        <v>30</v>
      </c>
      <c r="K346" s="333">
        <f>'PLANTILLA INV. PISO (0)'!AA352</f>
        <v>0</v>
      </c>
    </row>
    <row r="347" spans="1:11" ht="15" customHeight="1" x14ac:dyDescent="0.3">
      <c r="A347" s="350">
        <f>'PLANTILLA INV. PISO (0)'!A343</f>
        <v>92881</v>
      </c>
      <c r="B347" s="350" t="str">
        <f>'PLANTILLA INV. PISO (0)'!B343</f>
        <v xml:space="preserve">6 PACK BRISA SURTIDA </v>
      </c>
      <c r="C347" s="351">
        <f>'MODIFICAR CODIGOS '!E343</f>
        <v>6</v>
      </c>
      <c r="D347" s="352">
        <f>'PLANTILLA INV. PISO (0)'!U343</f>
        <v>0</v>
      </c>
      <c r="E347" s="132"/>
      <c r="F347" s="339">
        <f t="shared" si="20"/>
        <v>0</v>
      </c>
      <c r="G347" s="340">
        <f t="shared" si="21"/>
        <v>0</v>
      </c>
      <c r="H347" s="341">
        <f t="shared" si="22"/>
        <v>0</v>
      </c>
      <c r="I347" s="342">
        <f t="shared" si="23"/>
        <v>0</v>
      </c>
      <c r="K347" s="333">
        <f>'PLANTILLA INV. PISO (0)'!AA353</f>
        <v>0</v>
      </c>
    </row>
    <row r="348" spans="1:11" ht="15" customHeight="1" x14ac:dyDescent="0.3">
      <c r="A348" s="350">
        <f>'PLANTILLA INV. PISO (0)'!A344</f>
        <v>0</v>
      </c>
      <c r="B348" s="350">
        <f>'PLANTILLA INV. PISO (0)'!B344</f>
        <v>0</v>
      </c>
      <c r="C348" s="351">
        <f>'MODIFICAR CODIGOS '!E344</f>
        <v>1</v>
      </c>
      <c r="D348" s="352">
        <f>'PLANTILLA INV. PISO (0)'!U344</f>
        <v>0</v>
      </c>
      <c r="E348" s="132"/>
      <c r="F348" s="339">
        <f t="shared" si="20"/>
        <v>0</v>
      </c>
      <c r="G348" s="340">
        <f t="shared" si="21"/>
        <v>0</v>
      </c>
      <c r="H348" s="341">
        <f t="shared" si="22"/>
        <v>0</v>
      </c>
      <c r="I348" s="342">
        <f t="shared" si="23"/>
        <v>0</v>
      </c>
      <c r="K348" s="333">
        <f>'PLANTILLA INV. PISO (0)'!AA354</f>
        <v>0</v>
      </c>
    </row>
    <row r="349" spans="1:11" ht="15" customHeight="1" x14ac:dyDescent="0.3">
      <c r="A349" s="350">
        <f>'PLANTILLA INV. PISO (0)'!A345</f>
        <v>0</v>
      </c>
      <c r="B349" s="350">
        <f>'PLANTILLA INV. PISO (0)'!B345</f>
        <v>0</v>
      </c>
      <c r="C349" s="351">
        <f>'MODIFICAR CODIGOS '!E345</f>
        <v>1</v>
      </c>
      <c r="D349" s="352">
        <f>'PLANTILLA INV. PISO (0)'!U345</f>
        <v>0</v>
      </c>
      <c r="E349" s="132"/>
      <c r="F349" s="339">
        <f t="shared" si="20"/>
        <v>0</v>
      </c>
      <c r="G349" s="340">
        <f t="shared" si="21"/>
        <v>0</v>
      </c>
      <c r="H349" s="341">
        <f t="shared" si="22"/>
        <v>0</v>
      </c>
      <c r="I349" s="342">
        <f t="shared" si="23"/>
        <v>0</v>
      </c>
      <c r="K349" s="333">
        <f>'PLANTILLA INV. PISO (0)'!AA355</f>
        <v>0</v>
      </c>
    </row>
    <row r="350" spans="1:11" ht="15" customHeight="1" x14ac:dyDescent="0.3">
      <c r="A350" s="350">
        <f>'PLANTILLA INV. PISO (0)'!A346</f>
        <v>0</v>
      </c>
      <c r="B350" s="350">
        <f>'PLANTILLA INV. PISO (0)'!B346</f>
        <v>0</v>
      </c>
      <c r="C350" s="351">
        <f>'MODIFICAR CODIGOS '!E346</f>
        <v>1</v>
      </c>
      <c r="D350" s="352">
        <f>'PLANTILLA INV. PISO (0)'!U346</f>
        <v>0</v>
      </c>
      <c r="E350" s="132"/>
      <c r="F350" s="339">
        <f t="shared" si="20"/>
        <v>0</v>
      </c>
      <c r="G350" s="340">
        <f t="shared" si="21"/>
        <v>0</v>
      </c>
      <c r="H350" s="341">
        <f t="shared" si="22"/>
        <v>0</v>
      </c>
      <c r="I350" s="342">
        <f t="shared" si="23"/>
        <v>0</v>
      </c>
      <c r="K350" s="333">
        <f>'PLANTILLA INV. PISO (0)'!AA356</f>
        <v>0</v>
      </c>
    </row>
    <row r="351" spans="1:11" ht="15" customHeight="1" x14ac:dyDescent="0.3">
      <c r="A351" s="350">
        <f>'PLANTILLA INV. PISO (0)'!A347</f>
        <v>0</v>
      </c>
      <c r="B351" s="350">
        <f>'PLANTILLA INV. PISO (0)'!B347</f>
        <v>0</v>
      </c>
      <c r="C351" s="351">
        <f>'MODIFICAR CODIGOS '!E347</f>
        <v>1</v>
      </c>
      <c r="D351" s="352">
        <f>'PLANTILLA INV. PISO (0)'!U347</f>
        <v>0</v>
      </c>
      <c r="E351" s="132"/>
      <c r="F351" s="339">
        <f t="shared" si="20"/>
        <v>0</v>
      </c>
      <c r="G351" s="340">
        <f t="shared" si="21"/>
        <v>0</v>
      </c>
      <c r="H351" s="341">
        <f t="shared" si="22"/>
        <v>0</v>
      </c>
      <c r="I351" s="342">
        <f t="shared" si="23"/>
        <v>0</v>
      </c>
      <c r="K351" s="333">
        <f>'PLANTILLA INV. PISO (0)'!AA357</f>
        <v>0</v>
      </c>
    </row>
    <row r="352" spans="1:11" ht="15" customHeight="1" x14ac:dyDescent="0.3">
      <c r="A352" s="350">
        <f>'PLANTILLA INV. PISO (0)'!A348</f>
        <v>0</v>
      </c>
      <c r="B352" s="350">
        <f>'PLANTILLA INV. PISO (0)'!B348</f>
        <v>0</v>
      </c>
      <c r="C352" s="351">
        <f>'MODIFICAR CODIGOS '!E348</f>
        <v>1</v>
      </c>
      <c r="D352" s="352">
        <f>'PLANTILLA INV. PISO (0)'!U348</f>
        <v>0</v>
      </c>
      <c r="E352" s="132"/>
      <c r="F352" s="339">
        <f t="shared" si="20"/>
        <v>0</v>
      </c>
      <c r="G352" s="340">
        <f t="shared" si="21"/>
        <v>0</v>
      </c>
      <c r="H352" s="341">
        <f t="shared" si="22"/>
        <v>0</v>
      </c>
      <c r="I352" s="342">
        <f t="shared" si="23"/>
        <v>0</v>
      </c>
      <c r="K352" s="333">
        <f>'PLANTILLA INV. PISO (0)'!AA358</f>
        <v>0</v>
      </c>
    </row>
    <row r="353" spans="1:11" ht="15" customHeight="1" x14ac:dyDescent="0.3">
      <c r="A353" s="350">
        <f>'PLANTILLA INV. PISO (0)'!A349</f>
        <v>0</v>
      </c>
      <c r="B353" s="350">
        <f>'PLANTILLA INV. PISO (0)'!B349</f>
        <v>0</v>
      </c>
      <c r="C353" s="351">
        <f>'MODIFICAR CODIGOS '!E349</f>
        <v>1</v>
      </c>
      <c r="D353" s="352">
        <f>'PLANTILLA INV. PISO (0)'!U349</f>
        <v>0</v>
      </c>
      <c r="E353" s="132"/>
      <c r="F353" s="339">
        <f t="shared" si="20"/>
        <v>0</v>
      </c>
      <c r="G353" s="340">
        <f t="shared" si="21"/>
        <v>0</v>
      </c>
      <c r="H353" s="341">
        <f t="shared" si="22"/>
        <v>0</v>
      </c>
      <c r="I353" s="342">
        <f t="shared" si="23"/>
        <v>0</v>
      </c>
      <c r="K353" s="333">
        <f>'PLANTILLA INV. PISO (0)'!AA359</f>
        <v>0</v>
      </c>
    </row>
    <row r="354" spans="1:11" ht="15" customHeight="1" x14ac:dyDescent="0.3">
      <c r="A354" s="350">
        <f>'PLANTILLA INV. PISO (0)'!A350</f>
        <v>0</v>
      </c>
      <c r="B354" s="350">
        <f>'PLANTILLA INV. PISO (0)'!B350</f>
        <v>0</v>
      </c>
      <c r="C354" s="351">
        <f>'MODIFICAR CODIGOS '!E350</f>
        <v>2</v>
      </c>
      <c r="D354" s="352">
        <f>'PLANTILLA INV. PISO (0)'!U350</f>
        <v>0</v>
      </c>
      <c r="E354" s="132"/>
      <c r="F354" s="339">
        <f t="shared" si="20"/>
        <v>0</v>
      </c>
      <c r="G354" s="340">
        <f t="shared" si="21"/>
        <v>0</v>
      </c>
      <c r="H354" s="341">
        <f t="shared" si="22"/>
        <v>0</v>
      </c>
      <c r="I354" s="342">
        <f t="shared" si="23"/>
        <v>0</v>
      </c>
      <c r="K354" s="333">
        <f>'PLANTILLA INV. PISO (0)'!AA360</f>
        <v>0</v>
      </c>
    </row>
    <row r="355" spans="1:11" ht="15" customHeight="1" x14ac:dyDescent="0.3">
      <c r="A355" s="350">
        <f>'PLANTILLA INV. PISO (0)'!A351</f>
        <v>0</v>
      </c>
      <c r="B355" s="350">
        <f>'PLANTILLA INV. PISO (0)'!B351</f>
        <v>0</v>
      </c>
      <c r="C355" s="351">
        <f>'MODIFICAR CODIGOS '!E351</f>
        <v>1</v>
      </c>
      <c r="D355" s="352">
        <f>'PLANTILLA INV. PISO (0)'!U351</f>
        <v>0</v>
      </c>
      <c r="E355" s="132"/>
      <c r="F355" s="339">
        <f t="shared" si="20"/>
        <v>0</v>
      </c>
      <c r="G355" s="340">
        <f t="shared" si="21"/>
        <v>0</v>
      </c>
      <c r="H355" s="341">
        <f t="shared" si="22"/>
        <v>0</v>
      </c>
      <c r="I355" s="342">
        <f t="shared" si="23"/>
        <v>0</v>
      </c>
      <c r="K355" s="333">
        <f>'PLANTILLA INV. PISO (0)'!AA361</f>
        <v>0</v>
      </c>
    </row>
    <row r="356" spans="1:11" ht="15" customHeight="1" x14ac:dyDescent="0.3">
      <c r="A356" s="350">
        <f>'PLANTILLA INV. PISO (0)'!A352</f>
        <v>0</v>
      </c>
      <c r="B356" s="350">
        <f>'PLANTILLA INV. PISO (0)'!B352</f>
        <v>0</v>
      </c>
      <c r="C356" s="351">
        <f>'MODIFICAR CODIGOS '!E352</f>
        <v>1</v>
      </c>
      <c r="D356" s="352">
        <f>'PLANTILLA INV. PISO (0)'!U352</f>
        <v>0</v>
      </c>
      <c r="E356" s="132"/>
      <c r="F356" s="339">
        <f t="shared" si="20"/>
        <v>0</v>
      </c>
      <c r="G356" s="340">
        <f t="shared" si="21"/>
        <v>0</v>
      </c>
      <c r="H356" s="341">
        <f t="shared" si="22"/>
        <v>0</v>
      </c>
      <c r="I356" s="342">
        <f t="shared" si="23"/>
        <v>0</v>
      </c>
      <c r="K356" s="333">
        <f>'PLANTILLA INV. PISO (0)'!AA362</f>
        <v>0</v>
      </c>
    </row>
    <row r="357" spans="1:11" ht="15" customHeight="1" x14ac:dyDescent="0.3">
      <c r="A357" s="350">
        <f>'PLANTILLA INV. PISO (0)'!A353</f>
        <v>0</v>
      </c>
      <c r="B357" s="350">
        <f>'PLANTILLA INV. PISO (0)'!B353</f>
        <v>0</v>
      </c>
      <c r="C357" s="351">
        <f>'MODIFICAR CODIGOS '!E353</f>
        <v>1</v>
      </c>
      <c r="D357" s="352">
        <f>'PLANTILLA INV. PISO (0)'!U353</f>
        <v>0</v>
      </c>
      <c r="E357" s="132"/>
      <c r="F357" s="339">
        <f t="shared" si="20"/>
        <v>0</v>
      </c>
      <c r="G357" s="340">
        <f t="shared" si="21"/>
        <v>0</v>
      </c>
      <c r="H357" s="341">
        <f>G357/C357</f>
        <v>0</v>
      </c>
      <c r="I357" s="342">
        <f t="shared" si="23"/>
        <v>0</v>
      </c>
      <c r="K357" s="333">
        <f>'PLANTILLA INV. PISO (0)'!AA363</f>
        <v>0</v>
      </c>
    </row>
    <row r="358" spans="1:11" ht="15" customHeight="1" x14ac:dyDescent="0.3">
      <c r="A358" s="350">
        <f>'PLANTILLA INV. PISO (0)'!A354</f>
        <v>0</v>
      </c>
      <c r="B358" s="350">
        <f>'PLANTILLA INV. PISO (0)'!B354</f>
        <v>0</v>
      </c>
      <c r="C358" s="351">
        <f>'MODIFICAR CODIGOS '!E354</f>
        <v>1</v>
      </c>
      <c r="D358" s="352">
        <f>'PLANTILLA INV. PISO (0)'!U354</f>
        <v>0</v>
      </c>
      <c r="E358" s="132"/>
      <c r="F358" s="339">
        <f t="shared" si="20"/>
        <v>0</v>
      </c>
      <c r="G358" s="340">
        <f t="shared" si="21"/>
        <v>0</v>
      </c>
      <c r="H358" s="341">
        <f t="shared" si="22"/>
        <v>0</v>
      </c>
      <c r="I358" s="342">
        <f t="shared" si="23"/>
        <v>0</v>
      </c>
      <c r="K358" s="333">
        <f>'PLANTILLA INV. PISO (0)'!AA364</f>
        <v>0</v>
      </c>
    </row>
    <row r="359" spans="1:11" ht="15" customHeight="1" x14ac:dyDescent="0.3">
      <c r="A359" s="350">
        <f>'PLANTILLA INV. PISO (0)'!A355</f>
        <v>0</v>
      </c>
      <c r="B359" s="350">
        <f>'PLANTILLA INV. PISO (0)'!B355</f>
        <v>0</v>
      </c>
      <c r="C359" s="351">
        <f>'MODIFICAR CODIGOS '!E355</f>
        <v>1</v>
      </c>
      <c r="D359" s="352">
        <f>'PLANTILLA INV. PISO (0)'!U355</f>
        <v>0</v>
      </c>
      <c r="E359" s="132"/>
      <c r="F359" s="339">
        <f t="shared" si="20"/>
        <v>0</v>
      </c>
      <c r="G359" s="340">
        <f t="shared" si="21"/>
        <v>0</v>
      </c>
      <c r="H359" s="341">
        <f t="shared" si="22"/>
        <v>0</v>
      </c>
      <c r="I359" s="342">
        <f t="shared" si="23"/>
        <v>0</v>
      </c>
      <c r="K359" s="333">
        <f>'PLANTILLA INV. PISO (0)'!AA365</f>
        <v>0</v>
      </c>
    </row>
    <row r="360" spans="1:11" ht="15" customHeight="1" x14ac:dyDescent="0.3">
      <c r="A360" s="350">
        <f>'PLANTILLA INV. PISO (0)'!A356</f>
        <v>0</v>
      </c>
      <c r="B360" s="350">
        <f>'PLANTILLA INV. PISO (0)'!B356</f>
        <v>0</v>
      </c>
      <c r="C360" s="351">
        <f>'MODIFICAR CODIGOS '!E356</f>
        <v>1</v>
      </c>
      <c r="D360" s="352">
        <f>'PLANTILLA INV. PISO (0)'!U356</f>
        <v>0</v>
      </c>
      <c r="E360" s="132"/>
      <c r="F360" s="339">
        <f t="shared" si="20"/>
        <v>0</v>
      </c>
      <c r="G360" s="340">
        <f t="shared" si="21"/>
        <v>0</v>
      </c>
      <c r="H360" s="341">
        <f t="shared" si="22"/>
        <v>0</v>
      </c>
      <c r="I360" s="342">
        <f t="shared" si="23"/>
        <v>0</v>
      </c>
      <c r="K360" s="333">
        <f>'PLANTILLA INV. PISO (0)'!AA366</f>
        <v>0</v>
      </c>
    </row>
    <row r="361" spans="1:11" ht="15" customHeight="1" x14ac:dyDescent="0.3">
      <c r="A361" s="350">
        <f>'PLANTILLA INV. PISO (0)'!A357</f>
        <v>0</v>
      </c>
      <c r="B361" s="350">
        <f>'PLANTILLA INV. PISO (0)'!B357</f>
        <v>0</v>
      </c>
      <c r="C361" s="351">
        <f>'MODIFICAR CODIGOS '!E357</f>
        <v>6</v>
      </c>
      <c r="D361" s="352">
        <f>'PLANTILLA INV. PISO (0)'!U357</f>
        <v>0</v>
      </c>
      <c r="E361" s="132"/>
      <c r="F361" s="339">
        <f t="shared" si="20"/>
        <v>0</v>
      </c>
      <c r="G361" s="340">
        <f t="shared" si="21"/>
        <v>0</v>
      </c>
      <c r="H361" s="341">
        <f t="shared" si="22"/>
        <v>0</v>
      </c>
      <c r="I361" s="342">
        <f t="shared" si="23"/>
        <v>0</v>
      </c>
      <c r="K361" s="333">
        <f>'PLANTILLA INV. PISO (0)'!AA367</f>
        <v>0</v>
      </c>
    </row>
    <row r="362" spans="1:11" ht="15" customHeight="1" x14ac:dyDescent="0.3">
      <c r="A362" s="350">
        <f>'PLANTILLA INV. PISO (0)'!A358</f>
        <v>0</v>
      </c>
      <c r="B362" s="350">
        <f>'PLANTILLA INV. PISO (0)'!B358</f>
        <v>0</v>
      </c>
      <c r="C362" s="351">
        <f>'MODIFICAR CODIGOS '!E358</f>
        <v>1</v>
      </c>
      <c r="D362" s="352">
        <f>'PLANTILLA INV. PISO (0)'!U358</f>
        <v>0</v>
      </c>
      <c r="E362" s="132"/>
      <c r="F362" s="339">
        <f t="shared" si="20"/>
        <v>0</v>
      </c>
      <c r="G362" s="340">
        <f t="shared" si="21"/>
        <v>0</v>
      </c>
      <c r="H362" s="341">
        <f t="shared" si="22"/>
        <v>0</v>
      </c>
      <c r="I362" s="342">
        <f t="shared" si="23"/>
        <v>0</v>
      </c>
      <c r="K362" s="333">
        <f>'PLANTILLA INV. PISO (0)'!AA368</f>
        <v>0</v>
      </c>
    </row>
    <row r="363" spans="1:11" ht="15" customHeight="1" x14ac:dyDescent="0.3">
      <c r="A363" s="350">
        <f>'PLANTILLA INV. PISO (0)'!A359</f>
        <v>0</v>
      </c>
      <c r="B363" s="350">
        <f>'PLANTILLA INV. PISO (0)'!B359</f>
        <v>0</v>
      </c>
      <c r="C363" s="351">
        <f>'MODIFICAR CODIGOS '!E359</f>
        <v>1</v>
      </c>
      <c r="D363" s="352">
        <f>'PLANTILLA INV. PISO (0)'!U359</f>
        <v>0</v>
      </c>
      <c r="E363" s="132"/>
      <c r="F363" s="339">
        <f t="shared" si="20"/>
        <v>0</v>
      </c>
      <c r="G363" s="340">
        <f t="shared" si="21"/>
        <v>0</v>
      </c>
      <c r="H363" s="341">
        <f t="shared" si="22"/>
        <v>0</v>
      </c>
      <c r="I363" s="342">
        <f t="shared" si="23"/>
        <v>0</v>
      </c>
      <c r="K363" s="333">
        <f>'PLANTILLA INV. PISO (0)'!AA369</f>
        <v>0</v>
      </c>
    </row>
    <row r="364" spans="1:11" ht="15" customHeight="1" x14ac:dyDescent="0.3">
      <c r="A364" s="350">
        <f>'PLANTILLA INV. PISO (0)'!A360</f>
        <v>0</v>
      </c>
      <c r="B364" s="350">
        <f>'PLANTILLA INV. PISO (0)'!B360</f>
        <v>0</v>
      </c>
      <c r="C364" s="351">
        <f>'MODIFICAR CODIGOS '!E360</f>
        <v>6</v>
      </c>
      <c r="D364" s="352">
        <f>'PLANTILLA INV. PISO (0)'!U360</f>
        <v>0</v>
      </c>
      <c r="E364" s="132"/>
      <c r="F364" s="339">
        <f t="shared" si="20"/>
        <v>0</v>
      </c>
      <c r="G364" s="340">
        <f t="shared" si="21"/>
        <v>0</v>
      </c>
      <c r="H364" s="341">
        <f t="shared" si="22"/>
        <v>0</v>
      </c>
      <c r="I364" s="342">
        <f t="shared" si="23"/>
        <v>0</v>
      </c>
      <c r="K364" s="333">
        <f>'PLANTILLA INV. PISO (0)'!AA370</f>
        <v>0</v>
      </c>
    </row>
    <row r="365" spans="1:11" ht="15" customHeight="1" x14ac:dyDescent="0.3">
      <c r="A365" s="350">
        <f>'PLANTILLA INV. PISO (0)'!A361</f>
        <v>0</v>
      </c>
      <c r="B365" s="350">
        <f>'PLANTILLA INV. PISO (0)'!B361</f>
        <v>0</v>
      </c>
      <c r="C365" s="351">
        <f>'MODIFICAR CODIGOS '!E361</f>
        <v>12</v>
      </c>
      <c r="D365" s="352">
        <f>'PLANTILLA INV. PISO (0)'!U361</f>
        <v>0</v>
      </c>
      <c r="E365" s="132"/>
      <c r="F365" s="339">
        <f t="shared" si="20"/>
        <v>0</v>
      </c>
      <c r="G365" s="340">
        <f t="shared" si="21"/>
        <v>0</v>
      </c>
      <c r="H365" s="341">
        <f t="shared" si="22"/>
        <v>0</v>
      </c>
      <c r="I365" s="342">
        <f t="shared" si="23"/>
        <v>0</v>
      </c>
      <c r="K365" s="333">
        <f>'PLANTILLA INV. PISO (0)'!AA371</f>
        <v>0</v>
      </c>
    </row>
    <row r="366" spans="1:11" ht="15" customHeight="1" x14ac:dyDescent="0.3">
      <c r="A366" s="350" t="e">
        <f>'PLANTILLA INV. PISO (0)'!A362</f>
        <v>#REF!</v>
      </c>
      <c r="B366" s="350" t="e">
        <f>'PLANTILLA INV. PISO (0)'!B362</f>
        <v>#REF!</v>
      </c>
      <c r="C366" s="351">
        <f>'MODIFICAR CODIGOS '!E362</f>
        <v>1</v>
      </c>
      <c r="D366" s="352">
        <f>'PLANTILLA INV. PISO (0)'!U362</f>
        <v>0</v>
      </c>
      <c r="E366" s="132"/>
      <c r="F366" s="339">
        <f t="shared" si="20"/>
        <v>0</v>
      </c>
      <c r="G366" s="340">
        <f t="shared" si="21"/>
        <v>0</v>
      </c>
      <c r="H366" s="341">
        <f t="shared" si="22"/>
        <v>0</v>
      </c>
      <c r="I366" s="342">
        <f t="shared" si="23"/>
        <v>0</v>
      </c>
      <c r="K366" s="333">
        <f>'PLANTILLA INV. PISO (0)'!AA372</f>
        <v>0</v>
      </c>
    </row>
    <row r="367" spans="1:11" ht="15" customHeight="1" x14ac:dyDescent="0.3">
      <c r="A367" s="350">
        <f>'PLANTILLA INV. PISO (0)'!A363</f>
        <v>0</v>
      </c>
      <c r="B367" s="350">
        <f>'PLANTILLA INV. PISO (0)'!B363</f>
        <v>0</v>
      </c>
      <c r="C367" s="351">
        <f>'MODIFICAR CODIGOS '!E363</f>
        <v>6</v>
      </c>
      <c r="D367" s="352">
        <f>'PLANTILLA INV. PISO (0)'!U363</f>
        <v>0</v>
      </c>
      <c r="E367" s="132"/>
      <c r="F367" s="339">
        <f t="shared" si="20"/>
        <v>0</v>
      </c>
      <c r="G367" s="340">
        <f t="shared" si="21"/>
        <v>0</v>
      </c>
      <c r="H367" s="341">
        <f t="shared" si="22"/>
        <v>0</v>
      </c>
      <c r="I367" s="342">
        <f t="shared" si="23"/>
        <v>0</v>
      </c>
      <c r="K367" s="333">
        <f>'PLANTILLA INV. PISO (0)'!AA373</f>
        <v>0</v>
      </c>
    </row>
    <row r="368" spans="1:11" ht="15" customHeight="1" x14ac:dyDescent="0.3">
      <c r="A368" s="350" t="str">
        <f>'PLANTILLA INV. PISO (0)'!A364</f>
        <v>*</v>
      </c>
      <c r="B368" s="350">
        <f>'PLANTILLA INV. PISO (0)'!B364</f>
        <v>0</v>
      </c>
      <c r="C368" s="351">
        <f>'MODIFICAR CODIGOS '!E364</f>
        <v>1</v>
      </c>
      <c r="D368" s="352">
        <f>'PLANTILLA INV. PISO (0)'!U364</f>
        <v>0</v>
      </c>
      <c r="E368" s="132"/>
      <c r="F368" s="339">
        <f t="shared" si="20"/>
        <v>0</v>
      </c>
      <c r="G368" s="340">
        <f t="shared" si="21"/>
        <v>0</v>
      </c>
      <c r="H368" s="341">
        <f t="shared" si="22"/>
        <v>0</v>
      </c>
      <c r="I368" s="342">
        <f t="shared" si="23"/>
        <v>0</v>
      </c>
      <c r="K368" s="333">
        <f>'PLANTILLA INV. PISO (0)'!AA374</f>
        <v>0</v>
      </c>
    </row>
    <row r="369" spans="1:11" ht="15" customHeight="1" x14ac:dyDescent="0.3">
      <c r="A369" s="350">
        <f>'PLANTILLA INV. PISO (0)'!A365</f>
        <v>120193</v>
      </c>
      <c r="B369" s="350" t="str">
        <f>'PLANTILLA INV. PISO (0)'!B365</f>
        <v>12PK(3MG+2MRA+2MFR+2PÑM+2DZ+1MZ)CAJ</v>
      </c>
      <c r="C369" s="351">
        <f>'MODIFICAR CODIGOS '!E365</f>
        <v>12</v>
      </c>
      <c r="D369" s="352">
        <f>'PLANTILLA INV. PISO (0)'!U365</f>
        <v>0</v>
      </c>
      <c r="E369" s="132"/>
      <c r="F369" s="339">
        <f t="shared" si="20"/>
        <v>0</v>
      </c>
      <c r="G369" s="340">
        <f t="shared" si="21"/>
        <v>0</v>
      </c>
      <c r="H369" s="341">
        <f t="shared" si="22"/>
        <v>0</v>
      </c>
      <c r="I369" s="342">
        <f t="shared" si="23"/>
        <v>0</v>
      </c>
      <c r="K369" s="333">
        <f>'PLANTILLA INV. PISO (0)'!AA375</f>
        <v>0</v>
      </c>
    </row>
    <row r="370" spans="1:11" ht="15" customHeight="1" x14ac:dyDescent="0.3">
      <c r="A370" s="350">
        <f>'PLANTILLA INV. PISO (0)'!A366</f>
        <v>120194</v>
      </c>
      <c r="B370" s="350" t="str">
        <f>'PLANTILLA INV. PISO (0)'!B366</f>
        <v>6PK(2MG+2MRA+1MFR+1PÑM)200MLTRP CAJ</v>
      </c>
      <c r="C370" s="351">
        <f>'MODIFICAR CODIGOS '!E366</f>
        <v>6</v>
      </c>
      <c r="D370" s="352">
        <f>'PLANTILLA INV. PISO (0)'!U366</f>
        <v>0</v>
      </c>
      <c r="E370" s="132"/>
      <c r="F370" s="339">
        <f t="shared" si="20"/>
        <v>0</v>
      </c>
      <c r="G370" s="340">
        <f t="shared" si="21"/>
        <v>0</v>
      </c>
      <c r="H370" s="341">
        <f t="shared" si="22"/>
        <v>0</v>
      </c>
      <c r="I370" s="342">
        <f t="shared" si="23"/>
        <v>0</v>
      </c>
      <c r="K370" s="333">
        <f>'PLANTILLA INV. PISO (0)'!AA376</f>
        <v>0</v>
      </c>
    </row>
    <row r="371" spans="1:11" ht="15" customHeight="1" x14ac:dyDescent="0.3">
      <c r="A371" s="350">
        <f>'PLANTILLA INV. PISO (0)'!A367</f>
        <v>0</v>
      </c>
      <c r="B371" s="350">
        <f>'PLANTILLA INV. PISO (0)'!B367</f>
        <v>0</v>
      </c>
      <c r="C371" s="351">
        <f>'MODIFICAR CODIGOS '!E367</f>
        <v>12</v>
      </c>
      <c r="D371" s="352">
        <f>'PLANTILLA INV. PISO (0)'!U367</f>
        <v>0</v>
      </c>
      <c r="E371" s="132"/>
      <c r="F371" s="339">
        <f t="shared" si="20"/>
        <v>0</v>
      </c>
      <c r="G371" s="340">
        <f t="shared" si="21"/>
        <v>0</v>
      </c>
      <c r="H371" s="341">
        <f t="shared" si="22"/>
        <v>0</v>
      </c>
      <c r="I371" s="342">
        <f t="shared" si="23"/>
        <v>0</v>
      </c>
      <c r="K371" s="333">
        <f>'PLANTILLA INV. PISO (0)'!AA377</f>
        <v>0</v>
      </c>
    </row>
    <row r="372" spans="1:11" ht="15" customHeight="1" x14ac:dyDescent="0.3">
      <c r="A372" s="350">
        <f>'PLANTILLA INV. PISO (0)'!A368</f>
        <v>120202</v>
      </c>
      <c r="B372" s="350" t="str">
        <f>'PLANTILLA INV. PISO (0)'!B368</f>
        <v>6PK (3CT+3MD) 188ML NVO TRP</v>
      </c>
      <c r="C372" s="351">
        <f>'MODIFICAR CODIGOS '!E368</f>
        <v>6</v>
      </c>
      <c r="D372" s="352">
        <f>'PLANTILLA INV. PISO (0)'!U368</f>
        <v>957</v>
      </c>
      <c r="E372" s="132"/>
      <c r="F372" s="339">
        <f t="shared" si="20"/>
        <v>957</v>
      </c>
      <c r="G372" s="340">
        <f t="shared" si="21"/>
        <v>0</v>
      </c>
      <c r="H372" s="341">
        <f t="shared" si="22"/>
        <v>0</v>
      </c>
      <c r="I372" s="342">
        <f t="shared" si="23"/>
        <v>957</v>
      </c>
      <c r="K372" s="333">
        <f>'PLANTILLA INV. PISO (0)'!AA378</f>
        <v>0</v>
      </c>
    </row>
    <row r="373" spans="1:11" ht="15" customHeight="1" x14ac:dyDescent="0.3">
      <c r="A373" s="350">
        <f>'PLANTILLA INV. PISO (0)'!A369</f>
        <v>0</v>
      </c>
      <c r="B373" s="350">
        <f>'PLANTILLA INV. PISO (0)'!B369</f>
        <v>0</v>
      </c>
      <c r="C373" s="351">
        <f>'MODIFICAR CODIGOS '!E369</f>
        <v>1</v>
      </c>
      <c r="D373" s="352">
        <f>'PLANTILLA INV. PISO (0)'!U369</f>
        <v>0</v>
      </c>
      <c r="E373" s="132"/>
      <c r="F373" s="339">
        <f t="shared" si="20"/>
        <v>0</v>
      </c>
      <c r="G373" s="340">
        <f t="shared" si="21"/>
        <v>0</v>
      </c>
      <c r="H373" s="341">
        <f t="shared" si="22"/>
        <v>0</v>
      </c>
      <c r="I373" s="342">
        <f t="shared" si="23"/>
        <v>0</v>
      </c>
      <c r="K373" s="333">
        <f>'PLANTILLA INV. PISO (0)'!AA379</f>
        <v>0</v>
      </c>
    </row>
    <row r="374" spans="1:11" ht="15" customHeight="1" x14ac:dyDescent="0.3">
      <c r="A374" s="350">
        <f>'PLANTILLA INV. PISO (0)'!A370</f>
        <v>0</v>
      </c>
      <c r="B374" s="350">
        <f>'PLANTILLA INV. PISO (0)'!B370</f>
        <v>0</v>
      </c>
      <c r="C374" s="351">
        <f>'MODIFICAR CODIGOS '!E370</f>
        <v>1</v>
      </c>
      <c r="D374" s="352">
        <f>'PLANTILLA INV. PISO (0)'!U370</f>
        <v>0</v>
      </c>
      <c r="E374" s="132"/>
      <c r="F374" s="339">
        <f t="shared" si="20"/>
        <v>0</v>
      </c>
      <c r="G374" s="340">
        <f t="shared" si="21"/>
        <v>0</v>
      </c>
      <c r="H374" s="341">
        <f t="shared" si="22"/>
        <v>0</v>
      </c>
      <c r="I374" s="342">
        <f t="shared" si="23"/>
        <v>0</v>
      </c>
      <c r="K374" s="333">
        <f>'PLANTILLA INV. PISO (0)'!AA380</f>
        <v>0</v>
      </c>
    </row>
    <row r="375" spans="1:11" ht="15" customHeight="1" x14ac:dyDescent="0.3">
      <c r="A375" s="350">
        <f>'PLANTILLA INV. PISO (0)'!A371</f>
        <v>0</v>
      </c>
      <c r="B375" s="350">
        <f>'PLANTILLA INV. PISO (0)'!B371</f>
        <v>0</v>
      </c>
      <c r="C375" s="351">
        <f>'MODIFICAR CODIGOS '!E371</f>
        <v>1</v>
      </c>
      <c r="D375" s="352">
        <f>'PLANTILLA INV. PISO (0)'!U371</f>
        <v>0</v>
      </c>
      <c r="E375" s="132"/>
      <c r="F375" s="339">
        <f t="shared" si="20"/>
        <v>0</v>
      </c>
      <c r="G375" s="340">
        <f t="shared" si="21"/>
        <v>0</v>
      </c>
      <c r="H375" s="341">
        <f t="shared" si="22"/>
        <v>0</v>
      </c>
      <c r="I375" s="342">
        <f t="shared" si="23"/>
        <v>0</v>
      </c>
      <c r="K375" s="333">
        <f>'PLANTILLA INV. PISO (0)'!AA381</f>
        <v>0</v>
      </c>
    </row>
    <row r="376" spans="1:11" ht="15" customHeight="1" x14ac:dyDescent="0.3">
      <c r="A376" s="350">
        <f>'PLANTILLA INV. PISO (0)'!A372</f>
        <v>0</v>
      </c>
      <c r="B376" s="350">
        <f>'PLANTILLA INV. PISO (0)'!B372</f>
        <v>0</v>
      </c>
      <c r="C376" s="351">
        <f>'MODIFICAR CODIGOS '!E372</f>
        <v>1</v>
      </c>
      <c r="D376" s="352">
        <f>'PLANTILLA INV. PISO (0)'!U372</f>
        <v>0</v>
      </c>
      <c r="E376" s="132"/>
      <c r="F376" s="339">
        <f t="shared" si="20"/>
        <v>0</v>
      </c>
      <c r="G376" s="340">
        <f t="shared" si="21"/>
        <v>0</v>
      </c>
      <c r="H376" s="341">
        <f t="shared" si="22"/>
        <v>0</v>
      </c>
      <c r="I376" s="342">
        <f t="shared" si="23"/>
        <v>0</v>
      </c>
      <c r="K376" s="333">
        <f>'PLANTILLA INV. PISO (0)'!AA382</f>
        <v>0</v>
      </c>
    </row>
    <row r="377" spans="1:11" ht="15" customHeight="1" x14ac:dyDescent="0.3">
      <c r="A377" s="350">
        <f>'PLANTILLA INV. PISO (0)'!A373</f>
        <v>0</v>
      </c>
      <c r="B377" s="350">
        <f>'PLANTILLA INV. PISO (0)'!B373</f>
        <v>0</v>
      </c>
      <c r="C377" s="351">
        <f>'MODIFICAR CODIGOS '!E373</f>
        <v>1</v>
      </c>
      <c r="D377" s="352">
        <f>'PLANTILLA INV. PISO (0)'!U373</f>
        <v>0</v>
      </c>
      <c r="E377" s="132"/>
      <c r="F377" s="339">
        <f t="shared" si="20"/>
        <v>0</v>
      </c>
      <c r="G377" s="340">
        <f t="shared" si="21"/>
        <v>0</v>
      </c>
      <c r="H377" s="341">
        <f t="shared" si="22"/>
        <v>0</v>
      </c>
      <c r="I377" s="342">
        <f t="shared" si="23"/>
        <v>0</v>
      </c>
      <c r="K377" s="333">
        <f>'PLANTILLA INV. PISO (0)'!AA383</f>
        <v>0</v>
      </c>
    </row>
    <row r="378" spans="1:11" ht="15" customHeight="1" x14ac:dyDescent="0.3">
      <c r="A378" s="350" t="str">
        <f>'PLANTILLA INV. PISO (0)'!A374</f>
        <v>*</v>
      </c>
      <c r="B378" s="350">
        <f>'PLANTILLA INV. PISO (0)'!B374</f>
        <v>0</v>
      </c>
      <c r="C378" s="351">
        <f>'MODIFICAR CODIGOS '!E374</f>
        <v>1</v>
      </c>
      <c r="D378" s="352">
        <f>'PLANTILLA INV. PISO (0)'!U374</f>
        <v>0</v>
      </c>
      <c r="E378" s="132"/>
      <c r="F378" s="339">
        <f t="shared" si="20"/>
        <v>0</v>
      </c>
      <c r="G378" s="340">
        <f t="shared" si="21"/>
        <v>0</v>
      </c>
      <c r="H378" s="341">
        <f t="shared" si="22"/>
        <v>0</v>
      </c>
      <c r="I378" s="342">
        <f t="shared" si="23"/>
        <v>0</v>
      </c>
      <c r="K378" s="333">
        <f>'PLANTILLA INV. PISO (0)'!AA384</f>
        <v>0</v>
      </c>
    </row>
    <row r="379" spans="1:11" ht="15" customHeight="1" x14ac:dyDescent="0.3">
      <c r="A379" s="350">
        <f>'PLANTILLA INV. PISO (0)'!A375</f>
        <v>120131</v>
      </c>
      <c r="B379" s="350" t="str">
        <f>'PLANTILLA INV. PISO (0)'!B375</f>
        <v>DV FRUTAL MANGO 500 ML PET (6)</v>
      </c>
      <c r="C379" s="351">
        <f>'MODIFICAR CODIGOS '!E375</f>
        <v>6</v>
      </c>
      <c r="D379" s="352">
        <f>'PLANTILLA INV. PISO (0)'!U375</f>
        <v>7.04</v>
      </c>
      <c r="E379" s="132"/>
      <c r="F379" s="339">
        <f t="shared" si="20"/>
        <v>7</v>
      </c>
      <c r="G379" s="340">
        <f t="shared" si="21"/>
        <v>4.0000000000000036</v>
      </c>
      <c r="H379" s="341">
        <f t="shared" si="22"/>
        <v>0.6666666666666673</v>
      </c>
      <c r="I379" s="342">
        <f t="shared" si="23"/>
        <v>7.666666666666667</v>
      </c>
      <c r="K379" s="333">
        <f>'PLANTILLA INV. PISO (0)'!AA385</f>
        <v>0</v>
      </c>
    </row>
    <row r="380" spans="1:11" ht="15" customHeight="1" x14ac:dyDescent="0.3">
      <c r="A380" s="350">
        <f>'PLANTILLA INV. PISO (0)'!A376</f>
        <v>120129</v>
      </c>
      <c r="B380" s="350" t="str">
        <f>'PLANTILLA INV. PISO (0)'!B376</f>
        <v>DV FRUTAL MORA 500 ML PET (6)</v>
      </c>
      <c r="C380" s="351">
        <f>'MODIFICAR CODIGOS '!E376</f>
        <v>6</v>
      </c>
      <c r="D380" s="352">
        <f>'PLANTILLA INV. PISO (0)'!U376</f>
        <v>46.02</v>
      </c>
      <c r="E380" s="132"/>
      <c r="F380" s="339">
        <f t="shared" si="20"/>
        <v>46</v>
      </c>
      <c r="G380" s="340">
        <f t="shared" si="21"/>
        <v>2.0000000000003126</v>
      </c>
      <c r="H380" s="341">
        <f t="shared" si="22"/>
        <v>0.33333333333338544</v>
      </c>
      <c r="I380" s="342">
        <f t="shared" si="23"/>
        <v>46.333333333333385</v>
      </c>
      <c r="K380" s="333">
        <f>'PLANTILLA INV. PISO (0)'!AA386</f>
        <v>0</v>
      </c>
    </row>
    <row r="381" spans="1:11" ht="15" customHeight="1" x14ac:dyDescent="0.3">
      <c r="A381" s="350">
        <f>'PLANTILLA INV. PISO (0)'!A377</f>
        <v>120132</v>
      </c>
      <c r="B381" s="350" t="str">
        <f>'PLANTILLA INV. PISO (0)'!B377</f>
        <v>DV FRUTAL MANDARINA - PIÑA.</v>
      </c>
      <c r="C381" s="351">
        <f>'MODIFICAR CODIGOS '!E377</f>
        <v>6</v>
      </c>
      <c r="D381" s="352">
        <f>'PLANTILLA INV. PISO (0)'!U377</f>
        <v>0</v>
      </c>
      <c r="E381" s="132"/>
      <c r="F381" s="339">
        <f t="shared" si="20"/>
        <v>0</v>
      </c>
      <c r="G381" s="340">
        <f t="shared" si="21"/>
        <v>0</v>
      </c>
      <c r="H381" s="341">
        <f t="shared" si="22"/>
        <v>0</v>
      </c>
      <c r="I381" s="342">
        <f t="shared" si="23"/>
        <v>0</v>
      </c>
      <c r="K381" s="333">
        <f>'PLANTILLA INV. PISO (0)'!AA387</f>
        <v>0</v>
      </c>
    </row>
    <row r="382" spans="1:11" ht="15" customHeight="1" x14ac:dyDescent="0.3">
      <c r="A382" s="350">
        <f>'PLANTILLA INV. PISO (0)'!A378</f>
        <v>120128</v>
      </c>
      <c r="B382" s="350" t="str">
        <f>'PLANTILLA INV. PISO (0)'!B378</f>
        <v>FRUTAL MANGOFRS 500 ML</v>
      </c>
      <c r="C382" s="351">
        <f>'MODIFICAR CODIGOS '!E378</f>
        <v>6</v>
      </c>
      <c r="D382" s="352">
        <f>'PLANTILLA INV. PISO (0)'!U378</f>
        <v>10</v>
      </c>
      <c r="E382" s="132"/>
      <c r="F382" s="339">
        <f t="shared" si="20"/>
        <v>10</v>
      </c>
      <c r="G382" s="340">
        <f t="shared" si="21"/>
        <v>0</v>
      </c>
      <c r="H382" s="341">
        <f t="shared" si="22"/>
        <v>0</v>
      </c>
      <c r="I382" s="342">
        <f t="shared" si="23"/>
        <v>10</v>
      </c>
      <c r="K382" s="333">
        <f>'PLANTILLA INV. PISO (0)'!AA388</f>
        <v>0</v>
      </c>
    </row>
    <row r="383" spans="1:11" ht="15" customHeight="1" x14ac:dyDescent="0.3">
      <c r="A383" s="350">
        <f>'PLANTILLA INV. PISO (0)'!A379</f>
        <v>120130</v>
      </c>
      <c r="B383" s="350" t="str">
        <f>'PLANTILLA INV. PISO (0)'!B379</f>
        <v>FRUTAL SALPICON 500 ML PET</v>
      </c>
      <c r="C383" s="351">
        <f>'MODIFICAR CODIGOS '!E379</f>
        <v>6</v>
      </c>
      <c r="D383" s="352">
        <f>'PLANTILLA INV. PISO (0)'!U379</f>
        <v>0.01</v>
      </c>
      <c r="E383" s="132"/>
      <c r="F383" s="339">
        <f t="shared" si="20"/>
        <v>0</v>
      </c>
      <c r="G383" s="340">
        <f t="shared" si="21"/>
        <v>1</v>
      </c>
      <c r="H383" s="341">
        <f t="shared" si="22"/>
        <v>0.16666666666666666</v>
      </c>
      <c r="I383" s="342">
        <f t="shared" si="23"/>
        <v>0.16666666666666666</v>
      </c>
      <c r="K383" s="333">
        <f>'PLANTILLA INV. PISO (0)'!AA389</f>
        <v>0</v>
      </c>
    </row>
    <row r="384" spans="1:11" ht="15" customHeight="1" x14ac:dyDescent="0.3">
      <c r="A384" s="350" t="str">
        <f>'PLANTILLA INV. PISO (0)'!A380</f>
        <v>*</v>
      </c>
      <c r="B384" s="350">
        <f>'PLANTILLA INV. PISO (0)'!B380</f>
        <v>0</v>
      </c>
      <c r="C384" s="351">
        <f>'MODIFICAR CODIGOS '!E380</f>
        <v>1</v>
      </c>
      <c r="D384" s="352">
        <f>'PLANTILLA INV. PISO (0)'!U380</f>
        <v>0</v>
      </c>
      <c r="E384" s="132"/>
      <c r="F384" s="339">
        <f t="shared" si="20"/>
        <v>0</v>
      </c>
      <c r="G384" s="340">
        <f t="shared" si="21"/>
        <v>0</v>
      </c>
      <c r="H384" s="341">
        <f t="shared" si="22"/>
        <v>0</v>
      </c>
      <c r="I384" s="342">
        <f t="shared" si="23"/>
        <v>0</v>
      </c>
      <c r="K384" s="333">
        <f>'PLANTILLA INV. PISO (0)'!AA390</f>
        <v>0</v>
      </c>
    </row>
    <row r="385" spans="1:11" ht="15" customHeight="1" x14ac:dyDescent="0.3">
      <c r="A385" s="350">
        <f>'PLANTILLA INV. PISO (0)'!A381</f>
        <v>0</v>
      </c>
      <c r="B385" s="350">
        <f>'PLANTILLA INV. PISO (0)'!B381</f>
        <v>0</v>
      </c>
      <c r="C385" s="351">
        <f>'MODIFICAR CODIGOS '!E381</f>
        <v>1</v>
      </c>
      <c r="D385" s="352">
        <f>'PLANTILLA INV. PISO (0)'!U381</f>
        <v>0</v>
      </c>
      <c r="E385" s="132"/>
      <c r="F385" s="339">
        <f t="shared" si="20"/>
        <v>0</v>
      </c>
      <c r="G385" s="340">
        <f t="shared" si="21"/>
        <v>0</v>
      </c>
      <c r="H385" s="341">
        <f t="shared" si="22"/>
        <v>0</v>
      </c>
      <c r="I385" s="342">
        <f t="shared" si="23"/>
        <v>0</v>
      </c>
      <c r="K385" s="333">
        <f>'PLANTILLA INV. PISO (0)'!AA391</f>
        <v>0</v>
      </c>
    </row>
    <row r="386" spans="1:11" ht="15" customHeight="1" x14ac:dyDescent="0.3">
      <c r="A386" s="350">
        <f>'PLANTILLA INV. PISO (0)'!A382</f>
        <v>136399</v>
      </c>
      <c r="B386" s="350" t="str">
        <f>'PLANTILLA INV. PISO (0)'!B382</f>
        <v>COCA COLA ORIGINAL 269ML LAT(12)</v>
      </c>
      <c r="C386" s="351">
        <f>'MODIFICAR CODIGOS '!E382</f>
        <v>12</v>
      </c>
      <c r="D386" s="352">
        <f>'PLANTILLA INV. PISO (0)'!U382</f>
        <v>10.09</v>
      </c>
      <c r="E386" s="132"/>
      <c r="F386" s="339">
        <f t="shared" si="20"/>
        <v>10</v>
      </c>
      <c r="G386" s="340">
        <f t="shared" si="21"/>
        <v>8.9999999999999858</v>
      </c>
      <c r="H386" s="341">
        <f t="shared" si="22"/>
        <v>0.74999999999999878</v>
      </c>
      <c r="I386" s="342">
        <f t="shared" si="23"/>
        <v>10.749999999999998</v>
      </c>
      <c r="K386" s="333">
        <f>'PLANTILLA INV. PISO (0)'!AA392</f>
        <v>0</v>
      </c>
    </row>
    <row r="387" spans="1:11" ht="15" customHeight="1" x14ac:dyDescent="0.3">
      <c r="A387" s="350">
        <f>'PLANTILLA INV. PISO (0)'!A383</f>
        <v>135767</v>
      </c>
      <c r="B387" s="350" t="str">
        <f>'PLANTILLA INV. PISO (0)'!B383</f>
        <v>COCA COLA SIN AZUCAR 330 ML LATA ADV</v>
      </c>
      <c r="C387" s="351">
        <f>'MODIFICAR CODIGOS '!E383</f>
        <v>12</v>
      </c>
      <c r="D387" s="352">
        <f>'PLANTILLA INV. PISO (0)'!U383</f>
        <v>1.0900000000000001</v>
      </c>
      <c r="E387" s="132"/>
      <c r="F387" s="339">
        <f t="shared" si="20"/>
        <v>1</v>
      </c>
      <c r="G387" s="340">
        <f t="shared" si="21"/>
        <v>9.0000000000000071</v>
      </c>
      <c r="H387" s="341">
        <f t="shared" si="22"/>
        <v>0.75000000000000056</v>
      </c>
      <c r="I387" s="342">
        <f t="shared" si="23"/>
        <v>1.7500000000000004</v>
      </c>
      <c r="K387" s="333">
        <f>'PLANTILLA INV. PISO (0)'!AA393</f>
        <v>0</v>
      </c>
    </row>
    <row r="388" spans="1:11" ht="15" customHeight="1" x14ac:dyDescent="0.3">
      <c r="A388" s="350">
        <f>'PLANTILLA INV. PISO (0)'!A384</f>
        <v>0</v>
      </c>
      <c r="B388" s="350">
        <f>'PLANTILLA INV. PISO (0)'!B384</f>
        <v>0</v>
      </c>
      <c r="C388" s="351">
        <f>'MODIFICAR CODIGOS '!E384</f>
        <v>1</v>
      </c>
      <c r="D388" s="352">
        <f>'PLANTILLA INV. PISO (0)'!U384</f>
        <v>0</v>
      </c>
      <c r="E388" s="132"/>
      <c r="F388" s="339">
        <f t="shared" si="20"/>
        <v>0</v>
      </c>
      <c r="G388" s="340">
        <f t="shared" si="21"/>
        <v>0</v>
      </c>
      <c r="H388" s="341">
        <f t="shared" si="22"/>
        <v>0</v>
      </c>
      <c r="I388" s="342">
        <f t="shared" si="23"/>
        <v>0</v>
      </c>
      <c r="K388" s="333">
        <f>'PLANTILLA INV. PISO (0)'!AA394</f>
        <v>0</v>
      </c>
    </row>
    <row r="389" spans="1:11" ht="15.6" x14ac:dyDescent="0.3">
      <c r="A389" s="350">
        <f>'PLANTILLA INV. PISO (0)'!A385</f>
        <v>0</v>
      </c>
      <c r="B389" s="350">
        <f>'PLANTILLA INV. PISO (0)'!B385</f>
        <v>0</v>
      </c>
      <c r="C389" s="351">
        <f>'MODIFICAR CODIGOS '!E385</f>
        <v>1</v>
      </c>
      <c r="D389" s="352">
        <f>'PLANTILLA INV. PISO (0)'!U385</f>
        <v>0</v>
      </c>
      <c r="F389" s="339">
        <f t="shared" si="20"/>
        <v>0</v>
      </c>
      <c r="G389" s="340">
        <f t="shared" si="21"/>
        <v>0</v>
      </c>
      <c r="H389" s="341">
        <f t="shared" si="22"/>
        <v>0</v>
      </c>
      <c r="I389" s="342">
        <f t="shared" si="23"/>
        <v>0</v>
      </c>
      <c r="K389" s="333">
        <f>'PLANTILLA INV. PISO (0)'!AA395</f>
        <v>0</v>
      </c>
    </row>
    <row r="390" spans="1:11" ht="15.6" x14ac:dyDescent="0.3">
      <c r="A390" s="350">
        <f>'PLANTILLA INV. PISO (0)'!A386</f>
        <v>0</v>
      </c>
      <c r="B390" s="350">
        <f>'PLANTILLA INV. PISO (0)'!B386</f>
        <v>0</v>
      </c>
      <c r="C390" s="351">
        <f>'MODIFICAR CODIGOS '!E386</f>
        <v>12</v>
      </c>
      <c r="D390" s="352">
        <f>'PLANTILLA INV. PISO (0)'!U386</f>
        <v>0</v>
      </c>
      <c r="F390" s="339">
        <f t="shared" si="20"/>
        <v>0</v>
      </c>
      <c r="G390" s="340">
        <f t="shared" si="21"/>
        <v>0</v>
      </c>
      <c r="H390" s="341">
        <f t="shared" si="22"/>
        <v>0</v>
      </c>
      <c r="I390" s="342">
        <f t="shared" si="23"/>
        <v>0</v>
      </c>
      <c r="K390" s="333">
        <f>'PLANTILLA INV. PISO (0)'!AA396</f>
        <v>0</v>
      </c>
    </row>
    <row r="391" spans="1:11" ht="15.6" x14ac:dyDescent="0.3">
      <c r="A391" s="350">
        <f>'PLANTILLA INV. PISO (0)'!A387</f>
        <v>0</v>
      </c>
      <c r="B391" s="350">
        <f>'PLANTILLA INV. PISO (0)'!B387</f>
        <v>0</v>
      </c>
      <c r="C391" s="351">
        <f>'MODIFICAR CODIGOS '!E387</f>
        <v>1</v>
      </c>
      <c r="D391" s="352">
        <f>'PLANTILLA INV. PISO (0)'!U387</f>
        <v>0</v>
      </c>
      <c r="F391" s="339">
        <f t="shared" ref="F391:F454" si="24">ROUNDDOWN(D391,0)</f>
        <v>0</v>
      </c>
      <c r="G391" s="340">
        <f t="shared" ref="G391:G454" si="25">+(D391-F391)*100</f>
        <v>0</v>
      </c>
      <c r="H391" s="341">
        <f t="shared" ref="H391:H454" si="26">G391/C391</f>
        <v>0</v>
      </c>
      <c r="I391" s="342">
        <f t="shared" ref="I391:I454" si="27">F391+H391</f>
        <v>0</v>
      </c>
      <c r="K391" s="333">
        <f>'PLANTILLA INV. PISO (0)'!AA397</f>
        <v>0</v>
      </c>
    </row>
    <row r="392" spans="1:11" ht="15.6" x14ac:dyDescent="0.3">
      <c r="A392" s="350">
        <f>'PLANTILLA INV. PISO (0)'!A388</f>
        <v>0</v>
      </c>
      <c r="B392" s="350">
        <f>'PLANTILLA INV. PISO (0)'!B388</f>
        <v>0</v>
      </c>
      <c r="C392" s="351">
        <f>'MODIFICAR CODIGOS '!E388</f>
        <v>1</v>
      </c>
      <c r="D392" s="352">
        <f>'PLANTILLA INV. PISO (0)'!U388</f>
        <v>0</v>
      </c>
      <c r="F392" s="339">
        <f t="shared" si="24"/>
        <v>0</v>
      </c>
      <c r="G392" s="340">
        <f t="shared" si="25"/>
        <v>0</v>
      </c>
      <c r="H392" s="341">
        <f t="shared" si="26"/>
        <v>0</v>
      </c>
      <c r="I392" s="342">
        <f t="shared" si="27"/>
        <v>0</v>
      </c>
      <c r="K392" s="333">
        <f>'PLANTILLA INV. PISO (0)'!AA398</f>
        <v>0</v>
      </c>
    </row>
    <row r="393" spans="1:11" ht="15.6" x14ac:dyDescent="0.3">
      <c r="A393" s="350">
        <f>'PLANTILLA INV. PISO (0)'!A389</f>
        <v>0</v>
      </c>
      <c r="B393" s="350">
        <f>'PLANTILLA INV. PISO (0)'!B389</f>
        <v>0</v>
      </c>
      <c r="C393" s="351">
        <f>'MODIFICAR CODIGOS '!E389</f>
        <v>1</v>
      </c>
      <c r="D393" s="352">
        <f>'PLANTILLA INV. PISO (0)'!U389</f>
        <v>0</v>
      </c>
      <c r="F393" s="339">
        <f t="shared" si="24"/>
        <v>0</v>
      </c>
      <c r="G393" s="340">
        <f t="shared" si="25"/>
        <v>0</v>
      </c>
      <c r="H393" s="341">
        <f t="shared" si="26"/>
        <v>0</v>
      </c>
      <c r="I393" s="342">
        <f t="shared" si="27"/>
        <v>0</v>
      </c>
      <c r="K393" s="333">
        <f>'PLANTILLA INV. PISO (0)'!AA399</f>
        <v>0</v>
      </c>
    </row>
    <row r="394" spans="1:11" ht="15.6" x14ac:dyDescent="0.3">
      <c r="A394" s="350">
        <f>'PLANTILLA INV. PISO (0)'!A390</f>
        <v>0</v>
      </c>
      <c r="B394" s="350">
        <f>'PLANTILLA INV. PISO (0)'!B390</f>
        <v>0</v>
      </c>
      <c r="C394" s="351">
        <f>'MODIFICAR CODIGOS '!E390</f>
        <v>1</v>
      </c>
      <c r="D394" s="352">
        <f>'PLANTILLA INV. PISO (0)'!U390</f>
        <v>0</v>
      </c>
      <c r="F394" s="339">
        <f t="shared" si="24"/>
        <v>0</v>
      </c>
      <c r="G394" s="340">
        <f t="shared" si="25"/>
        <v>0</v>
      </c>
      <c r="H394" s="341">
        <f t="shared" si="26"/>
        <v>0</v>
      </c>
      <c r="I394" s="342">
        <f t="shared" si="27"/>
        <v>0</v>
      </c>
      <c r="K394" s="333">
        <f>'PLANTILLA INV. PISO (0)'!AA400</f>
        <v>0</v>
      </c>
    </row>
    <row r="395" spans="1:11" ht="15.6" x14ac:dyDescent="0.3">
      <c r="A395" s="350">
        <f>'PLANTILLA INV. PISO (0)'!A391</f>
        <v>0</v>
      </c>
      <c r="B395" s="350">
        <f>'PLANTILLA INV. PISO (0)'!B391</f>
        <v>0</v>
      </c>
      <c r="C395" s="351">
        <f>'MODIFICAR CODIGOS '!E391</f>
        <v>1</v>
      </c>
      <c r="D395" s="352">
        <f>'PLANTILLA INV. PISO (0)'!U391</f>
        <v>0</v>
      </c>
      <c r="F395" s="339">
        <f t="shared" si="24"/>
        <v>0</v>
      </c>
      <c r="G395" s="340">
        <f t="shared" si="25"/>
        <v>0</v>
      </c>
      <c r="H395" s="341">
        <f t="shared" si="26"/>
        <v>0</v>
      </c>
      <c r="I395" s="342">
        <f t="shared" si="27"/>
        <v>0</v>
      </c>
      <c r="K395" s="333">
        <f>'PLANTILLA INV. PISO (0)'!AA401</f>
        <v>0</v>
      </c>
    </row>
    <row r="396" spans="1:11" ht="15.6" x14ac:dyDescent="0.3">
      <c r="A396" s="350">
        <f>'PLANTILLA INV. PISO (0)'!A392</f>
        <v>0</v>
      </c>
      <c r="B396" s="350">
        <f>'PLANTILLA INV. PISO (0)'!B392</f>
        <v>0</v>
      </c>
      <c r="C396" s="351">
        <f>'MODIFICAR CODIGOS '!E392</f>
        <v>1</v>
      </c>
      <c r="D396" s="352">
        <f>'PLANTILLA INV. PISO (0)'!U392</f>
        <v>0</v>
      </c>
      <c r="F396" s="339">
        <f t="shared" si="24"/>
        <v>0</v>
      </c>
      <c r="G396" s="340">
        <f t="shared" si="25"/>
        <v>0</v>
      </c>
      <c r="H396" s="341">
        <f t="shared" si="26"/>
        <v>0</v>
      </c>
      <c r="I396" s="342">
        <f t="shared" si="27"/>
        <v>0</v>
      </c>
      <c r="K396" s="333">
        <f>'PLANTILLA INV. PISO (0)'!AA402</f>
        <v>0</v>
      </c>
    </row>
    <row r="397" spans="1:11" ht="15.6" x14ac:dyDescent="0.3">
      <c r="A397" s="350">
        <f>'PLANTILLA INV. PISO (0)'!A393</f>
        <v>0</v>
      </c>
      <c r="B397" s="350">
        <f>'PLANTILLA INV. PISO (0)'!B393</f>
        <v>0</v>
      </c>
      <c r="C397" s="351">
        <f>'MODIFICAR CODIGOS '!E393</f>
        <v>1</v>
      </c>
      <c r="D397" s="352">
        <f>'PLANTILLA INV. PISO (0)'!U393</f>
        <v>0</v>
      </c>
      <c r="F397" s="339">
        <f t="shared" si="24"/>
        <v>0</v>
      </c>
      <c r="G397" s="340">
        <f t="shared" si="25"/>
        <v>0</v>
      </c>
      <c r="H397" s="341">
        <f t="shared" si="26"/>
        <v>0</v>
      </c>
      <c r="I397" s="342">
        <f t="shared" si="27"/>
        <v>0</v>
      </c>
      <c r="K397" s="333">
        <f>'PLANTILLA INV. PISO (0)'!AA403</f>
        <v>0</v>
      </c>
    </row>
    <row r="398" spans="1:11" ht="15.6" x14ac:dyDescent="0.3">
      <c r="A398" s="350">
        <f>'PLANTILLA INV. PISO (0)'!A394</f>
        <v>0</v>
      </c>
      <c r="B398" s="350">
        <f>'PLANTILLA INV. PISO (0)'!B394</f>
        <v>0</v>
      </c>
      <c r="C398" s="351">
        <f>'MODIFICAR CODIGOS '!E394</f>
        <v>12</v>
      </c>
      <c r="D398" s="352">
        <f>'PLANTILLA INV. PISO (0)'!U394</f>
        <v>0</v>
      </c>
      <c r="F398" s="339">
        <f t="shared" si="24"/>
        <v>0</v>
      </c>
      <c r="G398" s="340">
        <f t="shared" si="25"/>
        <v>0</v>
      </c>
      <c r="H398" s="341">
        <f t="shared" si="26"/>
        <v>0</v>
      </c>
      <c r="I398" s="342">
        <f t="shared" si="27"/>
        <v>0</v>
      </c>
      <c r="K398" s="333">
        <f>'PLANTILLA INV. PISO (0)'!AA404</f>
        <v>0</v>
      </c>
    </row>
    <row r="399" spans="1:11" ht="15.6" x14ac:dyDescent="0.3">
      <c r="A399" s="350">
        <f>'PLANTILLA INV. PISO (0)'!A395</f>
        <v>0</v>
      </c>
      <c r="B399" s="350">
        <f>'PLANTILLA INV. PISO (0)'!B395</f>
        <v>0</v>
      </c>
      <c r="C399" s="351">
        <f>'MODIFICAR CODIGOS '!E395</f>
        <v>1</v>
      </c>
      <c r="D399" s="352">
        <f>'PLANTILLA INV. PISO (0)'!U395</f>
        <v>0</v>
      </c>
      <c r="F399" s="339">
        <f t="shared" si="24"/>
        <v>0</v>
      </c>
      <c r="G399" s="340">
        <f t="shared" si="25"/>
        <v>0</v>
      </c>
      <c r="H399" s="341">
        <f t="shared" si="26"/>
        <v>0</v>
      </c>
      <c r="I399" s="342">
        <f t="shared" si="27"/>
        <v>0</v>
      </c>
      <c r="K399" s="333">
        <f>'PLANTILLA INV. PISO (0)'!AA405</f>
        <v>0</v>
      </c>
    </row>
    <row r="400" spans="1:11" ht="15.6" x14ac:dyDescent="0.3">
      <c r="A400" s="350">
        <f>'PLANTILLA INV. PISO (0)'!A396</f>
        <v>160029</v>
      </c>
      <c r="B400" s="350" t="str">
        <f>'PLANTILLA INV. PISO (0)'!B396</f>
        <v>COCA-COLA 330ML LATA (12)</v>
      </c>
      <c r="C400" s="351">
        <f>'MODIFICAR CODIGOS '!E396</f>
        <v>12</v>
      </c>
      <c r="D400" s="352">
        <f>'PLANTILLA INV. PISO (0)'!U396</f>
        <v>42.03</v>
      </c>
      <c r="F400" s="339">
        <f t="shared" si="24"/>
        <v>42</v>
      </c>
      <c r="G400" s="340">
        <f t="shared" si="25"/>
        <v>3.0000000000001137</v>
      </c>
      <c r="H400" s="341">
        <f t="shared" si="26"/>
        <v>0.25000000000000949</v>
      </c>
      <c r="I400" s="342">
        <f t="shared" si="27"/>
        <v>42.250000000000007</v>
      </c>
      <c r="K400" s="333">
        <f>'PLANTILLA INV. PISO (0)'!AA406</f>
        <v>0</v>
      </c>
    </row>
    <row r="401" spans="1:11" ht="15.6" x14ac:dyDescent="0.3">
      <c r="A401" s="350">
        <f>'PLANTILLA INV. PISO (0)'!A397</f>
        <v>0</v>
      </c>
      <c r="B401" s="350">
        <f>'PLANTILLA INV. PISO (0)'!B397</f>
        <v>0</v>
      </c>
      <c r="C401" s="351">
        <f>'MODIFICAR CODIGOS '!E397</f>
        <v>1</v>
      </c>
      <c r="D401" s="352">
        <f>'PLANTILLA INV. PISO (0)'!U397</f>
        <v>0</v>
      </c>
      <c r="F401" s="339">
        <f t="shared" si="24"/>
        <v>0</v>
      </c>
      <c r="G401" s="340">
        <f t="shared" si="25"/>
        <v>0</v>
      </c>
      <c r="H401" s="341">
        <f t="shared" si="26"/>
        <v>0</v>
      </c>
      <c r="I401" s="342">
        <f t="shared" si="27"/>
        <v>0</v>
      </c>
      <c r="K401" s="333">
        <f>'PLANTILLA INV. PISO (0)'!AA407</f>
        <v>0</v>
      </c>
    </row>
    <row r="402" spans="1:11" ht="15.6" x14ac:dyDescent="0.3">
      <c r="A402" s="350">
        <f>'PLANTILLA INV. PISO (0)'!A398</f>
        <v>0</v>
      </c>
      <c r="B402" s="350">
        <f>'PLANTILLA INV. PISO (0)'!B398</f>
        <v>0</v>
      </c>
      <c r="C402" s="351">
        <f>'MODIFICAR CODIGOS '!E398</f>
        <v>1</v>
      </c>
      <c r="D402" s="352">
        <f>'PLANTILLA INV. PISO (0)'!U398</f>
        <v>0</v>
      </c>
      <c r="F402" s="339">
        <f t="shared" si="24"/>
        <v>0</v>
      </c>
      <c r="G402" s="340">
        <f t="shared" si="25"/>
        <v>0</v>
      </c>
      <c r="H402" s="341">
        <f t="shared" si="26"/>
        <v>0</v>
      </c>
      <c r="I402" s="342">
        <f t="shared" si="27"/>
        <v>0</v>
      </c>
      <c r="K402" s="333">
        <f>'PLANTILLA INV. PISO (0)'!AA408</f>
        <v>0</v>
      </c>
    </row>
    <row r="403" spans="1:11" ht="15.6" x14ac:dyDescent="0.3">
      <c r="A403" s="350">
        <f>'PLANTILLA INV. PISO (0)'!A399</f>
        <v>0</v>
      </c>
      <c r="B403" s="350">
        <f>'PLANTILLA INV. PISO (0)'!B399</f>
        <v>0</v>
      </c>
      <c r="C403" s="351">
        <f>'MODIFICAR CODIGOS '!E399</f>
        <v>1</v>
      </c>
      <c r="D403" s="352">
        <f>'PLANTILLA INV. PISO (0)'!U399</f>
        <v>0</v>
      </c>
      <c r="F403" s="339">
        <f t="shared" si="24"/>
        <v>0</v>
      </c>
      <c r="G403" s="340">
        <f t="shared" si="25"/>
        <v>0</v>
      </c>
      <c r="H403" s="341">
        <f t="shared" si="26"/>
        <v>0</v>
      </c>
      <c r="I403" s="342">
        <f t="shared" si="27"/>
        <v>0</v>
      </c>
      <c r="K403" s="333">
        <f>'PLANTILLA INV. PISO (0)'!AA409</f>
        <v>0</v>
      </c>
    </row>
    <row r="404" spans="1:11" ht="15.6" x14ac:dyDescent="0.3">
      <c r="A404" s="350">
        <f>'PLANTILLA INV. PISO (0)'!A400</f>
        <v>0</v>
      </c>
      <c r="B404" s="350">
        <f>'PLANTILLA INV. PISO (0)'!B400</f>
        <v>0</v>
      </c>
      <c r="C404" s="351">
        <f>'MODIFICAR CODIGOS '!E400</f>
        <v>1</v>
      </c>
      <c r="D404" s="352">
        <f>'PLANTILLA INV. PISO (0)'!U400</f>
        <v>0</v>
      </c>
      <c r="F404" s="339">
        <f t="shared" si="24"/>
        <v>0</v>
      </c>
      <c r="G404" s="340">
        <f t="shared" si="25"/>
        <v>0</v>
      </c>
      <c r="H404" s="341">
        <f t="shared" si="26"/>
        <v>0</v>
      </c>
      <c r="I404" s="342">
        <f t="shared" si="27"/>
        <v>0</v>
      </c>
      <c r="K404" s="333">
        <f>'PLANTILLA INV. PISO (0)'!AA410</f>
        <v>0</v>
      </c>
    </row>
    <row r="405" spans="1:11" ht="15.6" x14ac:dyDescent="0.3">
      <c r="A405" s="350">
        <f>'PLANTILLA INV. PISO (0)'!A401</f>
        <v>0</v>
      </c>
      <c r="B405" s="350">
        <f>'PLANTILLA INV. PISO (0)'!B401</f>
        <v>0</v>
      </c>
      <c r="C405" s="351">
        <f>'MODIFICAR CODIGOS '!E401</f>
        <v>1</v>
      </c>
      <c r="D405" s="352">
        <f>'PLANTILLA INV. PISO (0)'!U401</f>
        <v>0</v>
      </c>
      <c r="F405" s="339">
        <f t="shared" si="24"/>
        <v>0</v>
      </c>
      <c r="G405" s="340">
        <f t="shared" si="25"/>
        <v>0</v>
      </c>
      <c r="H405" s="341">
        <f t="shared" si="26"/>
        <v>0</v>
      </c>
      <c r="I405" s="342">
        <f t="shared" si="27"/>
        <v>0</v>
      </c>
      <c r="K405" s="333">
        <f>'PLANTILLA INV. PISO (0)'!AA411</f>
        <v>0</v>
      </c>
    </row>
    <row r="406" spans="1:11" ht="15.6" x14ac:dyDescent="0.3">
      <c r="A406" s="350">
        <f>'PLANTILLA INV. PISO (0)'!A402</f>
        <v>0</v>
      </c>
      <c r="B406" s="350">
        <f>'PLANTILLA INV. PISO (0)'!B402</f>
        <v>0</v>
      </c>
      <c r="C406" s="351">
        <f>'MODIFICAR CODIGOS '!E402</f>
        <v>1</v>
      </c>
      <c r="D406" s="352">
        <f>'PLANTILLA INV. PISO (0)'!U402</f>
        <v>0</v>
      </c>
      <c r="F406" s="339">
        <f t="shared" si="24"/>
        <v>0</v>
      </c>
      <c r="G406" s="340">
        <f t="shared" si="25"/>
        <v>0</v>
      </c>
      <c r="H406" s="341">
        <f t="shared" si="26"/>
        <v>0</v>
      </c>
      <c r="I406" s="342">
        <f t="shared" si="27"/>
        <v>0</v>
      </c>
      <c r="K406" s="333">
        <f>'PLANTILLA INV. PISO (0)'!AA412</f>
        <v>0</v>
      </c>
    </row>
    <row r="407" spans="1:11" ht="15.6" x14ac:dyDescent="0.3">
      <c r="A407" s="350">
        <f>'PLANTILLA INV. PISO (0)'!A403</f>
        <v>136689</v>
      </c>
      <c r="B407" s="350" t="str">
        <f>'PLANTILLA INV. PISO (0)'!B403</f>
        <v>2PK CC2.5 + VASO</v>
      </c>
      <c r="C407" s="351">
        <f>'MODIFICAR CODIGOS '!E403</f>
        <v>2</v>
      </c>
      <c r="D407" s="352">
        <f>'PLANTILLA INV. PISO (0)'!U403</f>
        <v>8</v>
      </c>
      <c r="F407" s="339">
        <f t="shared" si="24"/>
        <v>8</v>
      </c>
      <c r="G407" s="340">
        <f t="shared" si="25"/>
        <v>0</v>
      </c>
      <c r="H407" s="341">
        <f t="shared" si="26"/>
        <v>0</v>
      </c>
      <c r="I407" s="342">
        <f t="shared" si="27"/>
        <v>8</v>
      </c>
      <c r="K407" s="333">
        <f>'PLANTILLA INV. PISO (0)'!AA413</f>
        <v>0</v>
      </c>
    </row>
    <row r="408" spans="1:11" ht="15.6" x14ac:dyDescent="0.3">
      <c r="A408" s="350">
        <f>'PLANTILLA INV. PISO (0)'!A404</f>
        <v>136690</v>
      </c>
      <c r="B408" s="350" t="str">
        <f>'PLANTILLA INV. PISO (0)'!B404</f>
        <v>2PK 1CCSO +Q1.5</v>
      </c>
      <c r="C408" s="351">
        <f>'MODIFICAR CODIGOS '!E404</f>
        <v>2</v>
      </c>
      <c r="D408" s="352">
        <f>'PLANTILLA INV. PISO (0)'!U404</f>
        <v>54</v>
      </c>
      <c r="F408" s="339">
        <f t="shared" si="24"/>
        <v>54</v>
      </c>
      <c r="G408" s="340">
        <f t="shared" si="25"/>
        <v>0</v>
      </c>
      <c r="H408" s="341">
        <f t="shared" si="26"/>
        <v>0</v>
      </c>
      <c r="I408" s="342">
        <f t="shared" si="27"/>
        <v>54</v>
      </c>
      <c r="K408" s="333">
        <f>'PLANTILLA INV. PISO (0)'!AA414</f>
        <v>0</v>
      </c>
    </row>
    <row r="409" spans="1:11" ht="15.6" x14ac:dyDescent="0.3">
      <c r="A409" s="350">
        <f>'PLANTILLA INV. PISO (0)'!A405</f>
        <v>120207</v>
      </c>
      <c r="B409" s="350" t="str">
        <f>'PLANTILLA INV. PISO (0)'!B405</f>
        <v>POWERA ZUL SUPER</v>
      </c>
      <c r="C409" s="351">
        <f>'MODIFICAR CODIGOS '!E405</f>
        <v>6</v>
      </c>
      <c r="D409" s="352">
        <f>'PLANTILLA INV. PISO (0)'!U405</f>
        <v>0</v>
      </c>
      <c r="F409" s="339">
        <f t="shared" si="24"/>
        <v>0</v>
      </c>
      <c r="G409" s="340">
        <f t="shared" si="25"/>
        <v>0</v>
      </c>
      <c r="H409" s="341">
        <f t="shared" si="26"/>
        <v>0</v>
      </c>
      <c r="I409" s="342">
        <f t="shared" si="27"/>
        <v>0</v>
      </c>
      <c r="K409" s="333">
        <f>'PLANTILLA INV. PISO (0)'!AA415</f>
        <v>0</v>
      </c>
    </row>
    <row r="410" spans="1:11" ht="15.6" x14ac:dyDescent="0.3">
      <c r="A410" s="350">
        <f>'PLANTILLA INV. PISO (0)'!A406</f>
        <v>136730</v>
      </c>
      <c r="B410" s="350" t="str">
        <f>'PLANTILLA INV. PISO (0)'!B406</f>
        <v>2PK Q1.5 +SODA1.5</v>
      </c>
      <c r="C410" s="351">
        <f>'MODIFICAR CODIGOS '!E406</f>
        <v>2</v>
      </c>
      <c r="D410" s="352">
        <f>'PLANTILLA INV. PISO (0)'!U406</f>
        <v>0</v>
      </c>
      <c r="F410" s="339">
        <f t="shared" si="24"/>
        <v>0</v>
      </c>
      <c r="G410" s="340">
        <f t="shared" si="25"/>
        <v>0</v>
      </c>
      <c r="H410" s="341">
        <f t="shared" si="26"/>
        <v>0</v>
      </c>
      <c r="I410" s="342">
        <f t="shared" si="27"/>
        <v>0</v>
      </c>
      <c r="K410" s="333">
        <f>'PLANTILLA INV. PISO (0)'!AA416</f>
        <v>0</v>
      </c>
    </row>
    <row r="411" spans="1:11" ht="15.6" x14ac:dyDescent="0.3">
      <c r="A411" s="350">
        <f>'PLANTILLA INV. PISO (0)'!A407</f>
        <v>56841</v>
      </c>
      <c r="B411" s="350" t="str">
        <f>'PLANTILLA INV. PISO (0)'!B407</f>
        <v>FLASHLYTE UVA 625PET(6)</v>
      </c>
      <c r="C411" s="351">
        <f>'MODIFICAR CODIGOS '!E407</f>
        <v>6</v>
      </c>
      <c r="D411" s="352">
        <f>'PLANTILLA INV. PISO (0)'!U407</f>
        <v>262.05</v>
      </c>
      <c r="F411" s="339">
        <f t="shared" si="24"/>
        <v>262</v>
      </c>
      <c r="G411" s="340">
        <f t="shared" si="25"/>
        <v>5.0000000000011369</v>
      </c>
      <c r="H411" s="341">
        <f t="shared" si="26"/>
        <v>0.83333333333352277</v>
      </c>
      <c r="I411" s="342">
        <f t="shared" si="27"/>
        <v>262.83333333333354</v>
      </c>
      <c r="K411" s="333">
        <f>'PLANTILLA INV. PISO (0)'!AA417</f>
        <v>0</v>
      </c>
    </row>
    <row r="412" spans="1:11" ht="15.6" x14ac:dyDescent="0.3">
      <c r="A412" s="350">
        <f>'PLANTILLA INV. PISO (0)'!A408</f>
        <v>56842</v>
      </c>
      <c r="B412" s="350" t="str">
        <f>'PLANTILLA INV. PISO (0)'!B408</f>
        <v>FLASHLYTE COCO 625PET(6)</v>
      </c>
      <c r="C412" s="351">
        <f>'MODIFICAR CODIGOS '!E408</f>
        <v>6</v>
      </c>
      <c r="D412" s="352">
        <f>'PLANTILLA INV. PISO (0)'!U408</f>
        <v>127.03</v>
      </c>
      <c r="F412" s="339">
        <f t="shared" si="24"/>
        <v>127</v>
      </c>
      <c r="G412" s="340">
        <f t="shared" si="25"/>
        <v>3.0000000000001137</v>
      </c>
      <c r="H412" s="341">
        <f t="shared" si="26"/>
        <v>0.50000000000001898</v>
      </c>
      <c r="I412" s="342">
        <f t="shared" si="27"/>
        <v>127.50000000000001</v>
      </c>
      <c r="K412" s="333">
        <f>'PLANTILLA INV. PISO (0)'!AA418</f>
        <v>0</v>
      </c>
    </row>
    <row r="413" spans="1:11" ht="15.6" x14ac:dyDescent="0.3">
      <c r="A413" s="350">
        <f>'PLANTILLA INV. PISO (0)'!A409</f>
        <v>0</v>
      </c>
      <c r="B413" s="350">
        <f>'PLANTILLA INV. PISO (0)'!B409</f>
        <v>0</v>
      </c>
      <c r="C413" s="351">
        <f>'MODIFICAR CODIGOS '!E409</f>
        <v>1</v>
      </c>
      <c r="D413" s="352">
        <f>'PLANTILLA INV. PISO (0)'!U409</f>
        <v>0</v>
      </c>
      <c r="F413" s="339">
        <f t="shared" si="24"/>
        <v>0</v>
      </c>
      <c r="G413" s="340">
        <f t="shared" si="25"/>
        <v>0</v>
      </c>
      <c r="H413" s="341">
        <f t="shared" si="26"/>
        <v>0</v>
      </c>
      <c r="I413" s="342">
        <f t="shared" si="27"/>
        <v>0</v>
      </c>
      <c r="K413" s="333">
        <f>'PLANTILLA INV. PISO (0)'!AA419</f>
        <v>0</v>
      </c>
    </row>
    <row r="414" spans="1:11" ht="15.6" x14ac:dyDescent="0.3">
      <c r="A414" s="350">
        <f>'PLANTILLA INV. PISO (0)'!A410</f>
        <v>0</v>
      </c>
      <c r="B414" s="350">
        <f>'PLANTILLA INV. PISO (0)'!B410</f>
        <v>0</v>
      </c>
      <c r="C414" s="351">
        <f>'MODIFICAR CODIGOS '!E410</f>
        <v>1</v>
      </c>
      <c r="D414" s="352">
        <f>'PLANTILLA INV. PISO (0)'!U410</f>
        <v>0</v>
      </c>
      <c r="F414" s="339">
        <f t="shared" si="24"/>
        <v>0</v>
      </c>
      <c r="G414" s="340">
        <f t="shared" si="25"/>
        <v>0</v>
      </c>
      <c r="H414" s="341">
        <f t="shared" si="26"/>
        <v>0</v>
      </c>
      <c r="I414" s="342">
        <f t="shared" si="27"/>
        <v>0</v>
      </c>
      <c r="K414" s="333">
        <f>'PLANTILLA INV. PISO (0)'!AA420</f>
        <v>0</v>
      </c>
    </row>
    <row r="415" spans="1:11" ht="15.6" x14ac:dyDescent="0.3">
      <c r="A415" s="350">
        <f>'PLANTILLA INV. PISO (0)'!A411</f>
        <v>0</v>
      </c>
      <c r="B415" s="350">
        <f>'PLANTILLA INV. PISO (0)'!B411</f>
        <v>0</v>
      </c>
      <c r="C415" s="351">
        <f>'MODIFICAR CODIGOS '!E411</f>
        <v>1</v>
      </c>
      <c r="D415" s="352">
        <f>'PLANTILLA INV. PISO (0)'!U411</f>
        <v>0</v>
      </c>
      <c r="F415" s="339">
        <f t="shared" si="24"/>
        <v>0</v>
      </c>
      <c r="G415" s="340">
        <f t="shared" si="25"/>
        <v>0</v>
      </c>
      <c r="H415" s="341">
        <f t="shared" si="26"/>
        <v>0</v>
      </c>
      <c r="I415" s="342">
        <f t="shared" si="27"/>
        <v>0</v>
      </c>
      <c r="K415" s="333">
        <f>'PLANTILLA INV. PISO (0)'!AA421</f>
        <v>0</v>
      </c>
    </row>
    <row r="416" spans="1:11" ht="15.6" x14ac:dyDescent="0.3">
      <c r="A416" s="350">
        <f>'PLANTILLA INV. PISO (0)'!A412</f>
        <v>0</v>
      </c>
      <c r="B416" s="350">
        <f>'PLANTILLA INV. PISO (0)'!B412</f>
        <v>0</v>
      </c>
      <c r="C416" s="351">
        <f>'MODIFICAR CODIGOS '!E412</f>
        <v>1</v>
      </c>
      <c r="D416" s="352">
        <f>'PLANTILLA INV. PISO (0)'!U412</f>
        <v>0</v>
      </c>
      <c r="F416" s="339">
        <f t="shared" si="24"/>
        <v>0</v>
      </c>
      <c r="G416" s="340">
        <f t="shared" si="25"/>
        <v>0</v>
      </c>
      <c r="H416" s="341">
        <f t="shared" si="26"/>
        <v>0</v>
      </c>
      <c r="I416" s="342">
        <f t="shared" si="27"/>
        <v>0</v>
      </c>
      <c r="K416" s="333" t="str">
        <f>'PLANTILLA INV. PISO (0)'!AA422</f>
        <v>FECHA TPM</v>
      </c>
    </row>
    <row r="417" spans="1:11" ht="15.6" x14ac:dyDescent="0.3">
      <c r="A417" s="350">
        <f>'PLANTILLA INV. PISO (0)'!A413</f>
        <v>0</v>
      </c>
      <c r="B417" s="350">
        <f>'PLANTILLA INV. PISO (0)'!B413</f>
        <v>0</v>
      </c>
      <c r="C417" s="351">
        <f>'MODIFICAR CODIGOS '!E413</f>
        <v>1</v>
      </c>
      <c r="D417" s="352">
        <f>'PLANTILLA INV. PISO (0)'!U413</f>
        <v>0</v>
      </c>
      <c r="F417" s="339">
        <f t="shared" si="24"/>
        <v>0</v>
      </c>
      <c r="G417" s="340">
        <f t="shared" si="25"/>
        <v>0</v>
      </c>
      <c r="H417" s="341">
        <f t="shared" si="26"/>
        <v>0</v>
      </c>
      <c r="I417" s="342">
        <f t="shared" si="27"/>
        <v>0</v>
      </c>
      <c r="K417" s="333">
        <f>'PLANTILLA INV. PISO (0)'!AA423</f>
        <v>0</v>
      </c>
    </row>
    <row r="418" spans="1:11" ht="15.6" x14ac:dyDescent="0.3">
      <c r="A418" s="350">
        <f>'PLANTILLA INV. PISO (0)'!A414</f>
        <v>0</v>
      </c>
      <c r="B418" s="350">
        <f>'PLANTILLA INV. PISO (0)'!B414</f>
        <v>0</v>
      </c>
      <c r="C418" s="351">
        <f>'MODIFICAR CODIGOS '!E414</f>
        <v>12</v>
      </c>
      <c r="D418" s="352">
        <f>'PLANTILLA INV. PISO (0)'!U414</f>
        <v>0</v>
      </c>
      <c r="F418" s="339">
        <f t="shared" si="24"/>
        <v>0</v>
      </c>
      <c r="G418" s="340">
        <f t="shared" si="25"/>
        <v>0</v>
      </c>
      <c r="H418" s="341">
        <f t="shared" si="26"/>
        <v>0</v>
      </c>
      <c r="I418" s="342">
        <f t="shared" si="27"/>
        <v>0</v>
      </c>
      <c r="K418" s="333">
        <f>'PLANTILLA INV. PISO (0)'!AA424</f>
        <v>0</v>
      </c>
    </row>
    <row r="419" spans="1:11" ht="15.6" x14ac:dyDescent="0.3">
      <c r="A419" s="350">
        <f>'PLANTILLA INV. PISO (0)'!A415</f>
        <v>0</v>
      </c>
      <c r="B419" s="350">
        <f>'PLANTILLA INV. PISO (0)'!B415</f>
        <v>0</v>
      </c>
      <c r="C419" s="351">
        <f>'MODIFICAR CODIGOS '!E415</f>
        <v>1</v>
      </c>
      <c r="D419" s="352">
        <f>'PLANTILLA INV. PISO (0)'!U415</f>
        <v>0</v>
      </c>
      <c r="F419" s="339">
        <f t="shared" si="24"/>
        <v>0</v>
      </c>
      <c r="G419" s="340">
        <f t="shared" si="25"/>
        <v>0</v>
      </c>
      <c r="H419" s="341">
        <f t="shared" si="26"/>
        <v>0</v>
      </c>
      <c r="I419" s="342">
        <f t="shared" si="27"/>
        <v>0</v>
      </c>
      <c r="K419" s="333">
        <f>'PLANTILLA INV. PISO (0)'!AA425</f>
        <v>0</v>
      </c>
    </row>
    <row r="420" spans="1:11" ht="15.6" x14ac:dyDescent="0.3">
      <c r="A420" s="350">
        <f>'PLANTILLA INV. PISO (0)'!A416</f>
        <v>0</v>
      </c>
      <c r="B420" s="350">
        <f>'PLANTILLA INV. PISO (0)'!B416</f>
        <v>0</v>
      </c>
      <c r="C420" s="351">
        <f>'MODIFICAR CODIGOS '!E416</f>
        <v>1</v>
      </c>
      <c r="D420" s="352">
        <f>'PLANTILLA INV. PISO (0)'!U416</f>
        <v>0</v>
      </c>
      <c r="F420" s="339">
        <f t="shared" si="24"/>
        <v>0</v>
      </c>
      <c r="G420" s="340">
        <f t="shared" si="25"/>
        <v>0</v>
      </c>
      <c r="H420" s="341">
        <f t="shared" si="26"/>
        <v>0</v>
      </c>
      <c r="I420" s="342">
        <f t="shared" si="27"/>
        <v>0</v>
      </c>
      <c r="K420" s="333">
        <f>'PLANTILLA INV. PISO (0)'!AA426</f>
        <v>0</v>
      </c>
    </row>
    <row r="421" spans="1:11" ht="15.6" x14ac:dyDescent="0.3">
      <c r="A421" s="350">
        <f>'PLANTILLA INV. PISO (0)'!A417</f>
        <v>0</v>
      </c>
      <c r="B421" s="350">
        <f>'PLANTILLA INV. PISO (0)'!B417</f>
        <v>0</v>
      </c>
      <c r="C421" s="351">
        <f>'MODIFICAR CODIGOS '!E417</f>
        <v>1</v>
      </c>
      <c r="D421" s="352">
        <f>'PLANTILLA INV. PISO (0)'!U417</f>
        <v>0</v>
      </c>
      <c r="F421" s="339">
        <f t="shared" si="24"/>
        <v>0</v>
      </c>
      <c r="G421" s="340">
        <f t="shared" si="25"/>
        <v>0</v>
      </c>
      <c r="H421" s="341">
        <f t="shared" si="26"/>
        <v>0</v>
      </c>
      <c r="I421" s="342">
        <f t="shared" si="27"/>
        <v>0</v>
      </c>
      <c r="K421" s="333">
        <f>'PLANTILLA INV. PISO (0)'!AA427</f>
        <v>0</v>
      </c>
    </row>
    <row r="422" spans="1:11" ht="15.6" x14ac:dyDescent="0.3">
      <c r="A422" s="350">
        <f>'PLANTILLA INV. PISO (0)'!A418</f>
        <v>56781</v>
      </c>
      <c r="B422" s="350" t="str">
        <f>'PLANTILLA INV. PISO (0)'!B418</f>
        <v>6PACK QUATRO LATA 269ML</v>
      </c>
      <c r="C422" s="351">
        <f>'MODIFICAR CODIGOS '!E418</f>
        <v>6</v>
      </c>
      <c r="D422" s="352">
        <f>'PLANTILLA INV. PISO (0)'!U418</f>
        <v>31</v>
      </c>
      <c r="F422" s="339">
        <f t="shared" si="24"/>
        <v>31</v>
      </c>
      <c r="G422" s="340">
        <f t="shared" si="25"/>
        <v>0</v>
      </c>
      <c r="H422" s="341">
        <f t="shared" si="26"/>
        <v>0</v>
      </c>
      <c r="I422" s="342">
        <f t="shared" si="27"/>
        <v>31</v>
      </c>
      <c r="K422" s="333">
        <f>'PLANTILLA INV. PISO (0)'!AA443</f>
        <v>0</v>
      </c>
    </row>
    <row r="423" spans="1:11" ht="15.6" x14ac:dyDescent="0.3">
      <c r="A423" s="350">
        <f>'PLANTILLA INV. PISO (0)'!A419</f>
        <v>56751</v>
      </c>
      <c r="B423" s="350" t="str">
        <f>'PLANTILLA INV. PISO (0)'!B419</f>
        <v>12PACK QUATRO LATA 269ML</v>
      </c>
      <c r="C423" s="351">
        <f>'MODIFICAR CODIGOS '!E419</f>
        <v>12</v>
      </c>
      <c r="D423" s="352">
        <f>'PLANTILLA INV. PISO (0)'!U419</f>
        <v>19</v>
      </c>
      <c r="F423" s="339">
        <f t="shared" si="24"/>
        <v>19</v>
      </c>
      <c r="G423" s="340">
        <f t="shared" si="25"/>
        <v>0</v>
      </c>
      <c r="H423" s="341">
        <f t="shared" si="26"/>
        <v>0</v>
      </c>
      <c r="I423" s="342">
        <f t="shared" si="27"/>
        <v>19</v>
      </c>
      <c r="K423" s="333">
        <f>'PLANTILLA INV. PISO (0)'!AA444</f>
        <v>0</v>
      </c>
    </row>
    <row r="424" spans="1:11" ht="15.6" x14ac:dyDescent="0.3">
      <c r="A424" s="350">
        <f>'PLANTILLA INV. PISO (0)'!A420</f>
        <v>136656</v>
      </c>
      <c r="B424" s="350" t="str">
        <f>'PLANTILLA INV. PISO (0)'!B420</f>
        <v>6PACK Q4 CC2 LATA 269ML</v>
      </c>
      <c r="C424" s="351">
        <f>'MODIFICAR CODIGOS '!E420</f>
        <v>6</v>
      </c>
      <c r="D424" s="352">
        <f>'PLANTILLA INV. PISO (0)'!U420</f>
        <v>0</v>
      </c>
      <c r="F424" s="339">
        <f t="shared" si="24"/>
        <v>0</v>
      </c>
      <c r="G424" s="340">
        <f t="shared" si="25"/>
        <v>0</v>
      </c>
      <c r="H424" s="341">
        <f>G424/C424</f>
        <v>0</v>
      </c>
      <c r="I424" s="342">
        <f t="shared" si="27"/>
        <v>0</v>
      </c>
      <c r="K424" s="333">
        <f>'PLANTILLA INV. PISO (0)'!AA445</f>
        <v>0</v>
      </c>
    </row>
    <row r="425" spans="1:11" ht="15.6" x14ac:dyDescent="0.3">
      <c r="A425" s="350">
        <f>'PLANTILLA INV. PISO (0)'!A421</f>
        <v>120025</v>
      </c>
      <c r="B425" s="350" t="str">
        <f>'PLANTILLA INV. PISO (0)'!B421</f>
        <v>HIELOCO</v>
      </c>
      <c r="C425" s="351">
        <f>'MODIFICAR CODIGOS '!E421</f>
        <v>1</v>
      </c>
      <c r="D425" s="352">
        <f>'PLANTILLA INV. PISO (0)'!U421</f>
        <v>0</v>
      </c>
      <c r="F425" s="339">
        <f t="shared" si="24"/>
        <v>0</v>
      </c>
      <c r="G425" s="340">
        <f t="shared" si="25"/>
        <v>0</v>
      </c>
      <c r="H425" s="341">
        <f t="shared" si="26"/>
        <v>0</v>
      </c>
      <c r="I425" s="342">
        <f t="shared" si="27"/>
        <v>0</v>
      </c>
      <c r="K425" s="333">
        <f>'PLANTILLA INV. PISO (0)'!AA446</f>
        <v>0</v>
      </c>
    </row>
    <row r="426" spans="1:11" ht="15.6" x14ac:dyDescent="0.3">
      <c r="A426" s="350" t="str">
        <f>'PLANTILLA INV. PISO (0)'!A422</f>
        <v>CODIGO</v>
      </c>
      <c r="B426" s="350" t="str">
        <f>'PLANTILLA INV. PISO (0)'!B422</f>
        <v>PRODUCTO</v>
      </c>
      <c r="C426" s="351">
        <f>'MODIFICAR CODIGOS '!E422</f>
        <v>0</v>
      </c>
      <c r="D426" s="352" t="str">
        <f>'PLANTILLA INV. PISO (0)'!U422</f>
        <v>TOTAL</v>
      </c>
      <c r="F426" s="339" t="e">
        <f t="shared" si="24"/>
        <v>#VALUE!</v>
      </c>
      <c r="G426" s="340" t="e">
        <f t="shared" si="25"/>
        <v>#VALUE!</v>
      </c>
      <c r="H426" s="341" t="e">
        <f>G426/C426</f>
        <v>#VALUE!</v>
      </c>
      <c r="I426" s="342" t="e">
        <f t="shared" si="27"/>
        <v>#VALUE!</v>
      </c>
      <c r="K426" s="333">
        <f>'PLANTILLA INV. PISO (0)'!AA447</f>
        <v>0</v>
      </c>
    </row>
    <row r="427" spans="1:11" ht="15.6" x14ac:dyDescent="0.3">
      <c r="A427" s="350">
        <f>'PLANTILLA INV. PISO (0)'!A423</f>
        <v>136468</v>
      </c>
      <c r="B427" s="350" t="str">
        <f>'PLANTILLA INV. PISO (0)'!B423</f>
        <v>HALLS 100S EXT STRONG COL 310GR KTI30(1)</v>
      </c>
      <c r="C427" s="351">
        <f>'MODIFICAR CODIGOS '!E423</f>
        <v>1</v>
      </c>
      <c r="D427" s="352">
        <f>'PLANTILLA INV. PISO (0)'!U423</f>
        <v>45</v>
      </c>
      <c r="F427" s="339">
        <f t="shared" si="24"/>
        <v>45</v>
      </c>
      <c r="G427" s="340">
        <f t="shared" si="25"/>
        <v>0</v>
      </c>
      <c r="H427" s="341">
        <f t="shared" si="26"/>
        <v>0</v>
      </c>
      <c r="I427" s="342">
        <f t="shared" si="27"/>
        <v>45</v>
      </c>
      <c r="K427" s="333">
        <f>'PLANTILLA INV. PISO (0)'!AA448</f>
        <v>0</v>
      </c>
    </row>
    <row r="428" spans="1:11" ht="15.6" x14ac:dyDescent="0.3">
      <c r="A428" s="350">
        <f>'PLANTILLA INV. PISO (0)'!A424</f>
        <v>136478</v>
      </c>
      <c r="B428" s="350" t="str">
        <f>'PLANTILLA INV. PISO (0)'!B424</f>
        <v>CHAO MENTA 350GR KIT 24(1)</v>
      </c>
      <c r="C428" s="351">
        <f>'MODIFICAR CODIGOS '!E424</f>
        <v>1</v>
      </c>
      <c r="D428" s="352">
        <f>'PLANTILLA INV. PISO (0)'!U424</f>
        <v>519</v>
      </c>
      <c r="F428" s="339">
        <f t="shared" si="24"/>
        <v>519</v>
      </c>
      <c r="G428" s="340">
        <f t="shared" si="25"/>
        <v>0</v>
      </c>
      <c r="H428" s="341">
        <f t="shared" si="26"/>
        <v>0</v>
      </c>
      <c r="I428" s="342">
        <f t="shared" si="27"/>
        <v>519</v>
      </c>
      <c r="K428" s="333">
        <f>'PLANTILLA INV. PISO (0)'!AA449</f>
        <v>0</v>
      </c>
    </row>
    <row r="429" spans="1:11" ht="15.6" x14ac:dyDescent="0.3">
      <c r="A429" s="350">
        <f>'PLANTILLA INV. PISO (0)'!A425</f>
        <v>136479</v>
      </c>
      <c r="B429" s="350" t="str">
        <f>'PLANTILLA INV. PISO (0)'!B425</f>
        <v>CHAO FRESA 350GR KIT 24(1)</v>
      </c>
      <c r="C429" s="351">
        <f>'MODIFICAR CODIGOS '!E425</f>
        <v>1</v>
      </c>
      <c r="D429" s="352">
        <f>'PLANTILLA INV. PISO (0)'!U425</f>
        <v>1939</v>
      </c>
      <c r="F429" s="339">
        <f t="shared" si="24"/>
        <v>1939</v>
      </c>
      <c r="G429" s="340">
        <f t="shared" si="25"/>
        <v>0</v>
      </c>
      <c r="H429" s="341">
        <f t="shared" si="26"/>
        <v>0</v>
      </c>
      <c r="I429" s="342">
        <f t="shared" si="27"/>
        <v>1939</v>
      </c>
      <c r="K429" s="333">
        <f>'PLANTILLA INV. PISO (0)'!AA450</f>
        <v>0</v>
      </c>
    </row>
    <row r="430" spans="1:11" ht="15.6" x14ac:dyDescent="0.3">
      <c r="A430" s="350">
        <f>'PLANTILLA INV. PISO (0)'!A426</f>
        <v>136701</v>
      </c>
      <c r="B430" s="350" t="str">
        <f>'PLANTILLA INV. PISO (0)'!B426</f>
        <v>BIANCHI CHOCOBLAN 460GR  KIT18(1)</v>
      </c>
      <c r="C430" s="351">
        <f>'MODIFICAR CODIGOS '!E426</f>
        <v>1</v>
      </c>
      <c r="D430" s="352">
        <f>'PLANTILLA INV. PISO (0)'!U426</f>
        <v>39</v>
      </c>
      <c r="F430" s="339">
        <f t="shared" si="24"/>
        <v>39</v>
      </c>
      <c r="G430" s="340">
        <f t="shared" si="25"/>
        <v>0</v>
      </c>
      <c r="H430" s="341">
        <f t="shared" si="26"/>
        <v>0</v>
      </c>
      <c r="I430" s="342">
        <f t="shared" si="27"/>
        <v>39</v>
      </c>
      <c r="K430" s="333">
        <f>'PLANTILLA INV. PISO (0)'!AA451</f>
        <v>0</v>
      </c>
    </row>
    <row r="431" spans="1:11" ht="15.6" x14ac:dyDescent="0.3">
      <c r="A431" s="350">
        <f>'PLANTILLA INV. PISO (0)'!A427</f>
        <v>136700</v>
      </c>
      <c r="B431" s="350" t="str">
        <f>'PLANTILLA INV. PISO (0)'!B427</f>
        <v>BIANCHI CHOCOLATE 460GR KIT18(1)</v>
      </c>
      <c r="C431" s="351">
        <f>'MODIFICAR CODIGOS '!E427</f>
        <v>1</v>
      </c>
      <c r="D431" s="352">
        <f>'PLANTILLA INV. PISO (0)'!U427</f>
        <v>143</v>
      </c>
      <c r="F431" s="339">
        <f t="shared" si="24"/>
        <v>143</v>
      </c>
      <c r="G431" s="340">
        <f t="shared" si="25"/>
        <v>0</v>
      </c>
      <c r="H431" s="341">
        <f t="shared" si="26"/>
        <v>0</v>
      </c>
      <c r="I431" s="342">
        <f t="shared" si="27"/>
        <v>143</v>
      </c>
      <c r="K431" s="333" t="e">
        <f>'PLANTILLA INV. PISO (0)'!#REF!</f>
        <v>#REF!</v>
      </c>
    </row>
    <row r="432" spans="1:11" ht="15.6" x14ac:dyDescent="0.3">
      <c r="A432" s="350">
        <f>'PLANTILLA INV. PISO (0)'!A428</f>
        <v>136487</v>
      </c>
      <c r="B432" s="350" t="str">
        <f>'PLANTILLA INV. PISO (0)'!B428</f>
        <v>LOKINO CARAMELO 400GR KIT24(1)</v>
      </c>
      <c r="C432" s="351">
        <f>'MODIFICAR CODIGOS '!E428</f>
        <v>1</v>
      </c>
      <c r="D432" s="352">
        <f>'PLANTILLA INV. PISO (0)'!U428</f>
        <v>163</v>
      </c>
      <c r="F432" s="339">
        <f t="shared" si="24"/>
        <v>163</v>
      </c>
      <c r="G432" s="340">
        <f t="shared" si="25"/>
        <v>0</v>
      </c>
      <c r="H432" s="341">
        <f t="shared" si="26"/>
        <v>0</v>
      </c>
      <c r="I432" s="342">
        <f t="shared" si="27"/>
        <v>163</v>
      </c>
      <c r="K432" s="201"/>
    </row>
    <row r="433" spans="1:11" ht="15.6" x14ac:dyDescent="0.3">
      <c r="A433" s="350">
        <f>'PLANTILLA INV. PISO (0)'!A429</f>
        <v>136712</v>
      </c>
      <c r="B433" s="350" t="str">
        <f>'PLANTILLA INV. PISO (0)'!B429</f>
        <v>TRULU 70U MAS VENDID 1.6K KIT6(1)</v>
      </c>
      <c r="C433" s="351">
        <f>'MODIFICAR CODIGOS '!E429</f>
        <v>1</v>
      </c>
      <c r="D433" s="352">
        <f>'PLANTILLA INV. PISO (0)'!U429</f>
        <v>607</v>
      </c>
      <c r="F433" s="339">
        <f t="shared" si="24"/>
        <v>607</v>
      </c>
      <c r="G433" s="340">
        <f t="shared" si="25"/>
        <v>0</v>
      </c>
      <c r="H433" s="341">
        <f t="shared" si="26"/>
        <v>0</v>
      </c>
      <c r="I433" s="342">
        <f t="shared" si="27"/>
        <v>607</v>
      </c>
      <c r="K433" s="201"/>
    </row>
    <row r="434" spans="1:11" ht="15.6" x14ac:dyDescent="0.3">
      <c r="A434" s="350">
        <f>'PLANTILLA INV. PISO (0)'!A430</f>
        <v>0</v>
      </c>
      <c r="B434" s="350">
        <f>'PLANTILLA INV. PISO (0)'!B430</f>
        <v>0</v>
      </c>
      <c r="C434" s="351">
        <f>'MODIFICAR CODIGOS '!E430</f>
        <v>1</v>
      </c>
      <c r="D434" s="352">
        <f>'PLANTILLA INV. PISO (0)'!U430</f>
        <v>0</v>
      </c>
      <c r="F434" s="339">
        <f t="shared" si="24"/>
        <v>0</v>
      </c>
      <c r="G434" s="340">
        <f t="shared" si="25"/>
        <v>0</v>
      </c>
      <c r="H434" s="341">
        <f t="shared" si="26"/>
        <v>0</v>
      </c>
      <c r="I434" s="342">
        <f t="shared" si="27"/>
        <v>0</v>
      </c>
      <c r="K434" s="201"/>
    </row>
    <row r="435" spans="1:11" ht="15.6" x14ac:dyDescent="0.3">
      <c r="A435" s="350">
        <f>'PLANTILLA INV. PISO (0)'!A431</f>
        <v>0</v>
      </c>
      <c r="B435" s="350">
        <f>'PLANTILLA INV. PISO (0)'!B431</f>
        <v>0</v>
      </c>
      <c r="C435" s="351">
        <f>'MODIFICAR CODIGOS '!E431</f>
        <v>1</v>
      </c>
      <c r="D435" s="352">
        <f>'PLANTILLA INV. PISO (0)'!U431</f>
        <v>0</v>
      </c>
      <c r="F435" s="339">
        <f t="shared" si="24"/>
        <v>0</v>
      </c>
      <c r="G435" s="340">
        <f t="shared" si="25"/>
        <v>0</v>
      </c>
      <c r="H435" s="341">
        <f t="shared" si="26"/>
        <v>0</v>
      </c>
      <c r="I435" s="342">
        <f t="shared" si="27"/>
        <v>0</v>
      </c>
      <c r="K435" s="201"/>
    </row>
    <row r="436" spans="1:11" ht="15.6" x14ac:dyDescent="0.3">
      <c r="A436" s="350">
        <f>'PLANTILLA INV. PISO (0)'!A432</f>
        <v>0</v>
      </c>
      <c r="B436" s="350">
        <f>'PLANTILLA INV. PISO (0)'!B432</f>
        <v>0</v>
      </c>
      <c r="C436" s="351">
        <f>'MODIFICAR CODIGOS '!E432</f>
        <v>1</v>
      </c>
      <c r="D436" s="352">
        <f>'PLANTILLA INV. PISO (0)'!U432</f>
        <v>0</v>
      </c>
      <c r="F436" s="339">
        <f t="shared" si="24"/>
        <v>0</v>
      </c>
      <c r="G436" s="340">
        <f t="shared" si="25"/>
        <v>0</v>
      </c>
      <c r="H436" s="341">
        <f t="shared" si="26"/>
        <v>0</v>
      </c>
      <c r="I436" s="342">
        <f t="shared" si="27"/>
        <v>0</v>
      </c>
      <c r="K436" s="201"/>
    </row>
    <row r="437" spans="1:11" ht="15.6" x14ac:dyDescent="0.3">
      <c r="A437" s="350">
        <f>'PLANTILLA INV. PISO (0)'!A433</f>
        <v>136475</v>
      </c>
      <c r="B437" s="350" t="str">
        <f>'PLANTILLA INV. PISO (0)'!B433</f>
        <v>BARRILETE 440GR PAIS KIT18(1)</v>
      </c>
      <c r="C437" s="351">
        <f>'MODIFICAR CODIGOS '!E433</f>
        <v>1</v>
      </c>
      <c r="D437" s="352">
        <f>'PLANTILLA INV. PISO (0)'!U433</f>
        <v>94</v>
      </c>
      <c r="F437" s="339">
        <f t="shared" si="24"/>
        <v>94</v>
      </c>
      <c r="G437" s="340">
        <f t="shared" si="25"/>
        <v>0</v>
      </c>
      <c r="H437" s="341">
        <f t="shared" si="26"/>
        <v>0</v>
      </c>
      <c r="I437" s="342">
        <f t="shared" si="27"/>
        <v>94</v>
      </c>
      <c r="K437" s="201"/>
    </row>
    <row r="438" spans="1:11" ht="15.6" x14ac:dyDescent="0.3">
      <c r="A438" s="350">
        <f>'PLANTILLA INV. PISO (0)'!A434</f>
        <v>136675</v>
      </c>
      <c r="B438" s="350" t="str">
        <f>'PLANTILLA INV. PISO (0)'!B434</f>
        <v>TRULULU SABOR SURT ACIDO 12U 360G KIT12(1)</v>
      </c>
      <c r="C438" s="351">
        <f>'MODIFICAR CODIGOS '!E434</f>
        <v>1</v>
      </c>
      <c r="D438" s="352">
        <f>'PLANTILLA INV. PISO (0)'!U434</f>
        <v>65</v>
      </c>
      <c r="F438" s="339">
        <f t="shared" si="24"/>
        <v>65</v>
      </c>
      <c r="G438" s="340">
        <f t="shared" si="25"/>
        <v>0</v>
      </c>
      <c r="H438" s="341">
        <f t="shared" si="26"/>
        <v>0</v>
      </c>
      <c r="I438" s="342">
        <f t="shared" si="27"/>
        <v>65</v>
      </c>
      <c r="K438" s="201"/>
    </row>
    <row r="439" spans="1:11" ht="15.6" x14ac:dyDescent="0.3">
      <c r="A439" s="350">
        <f>'PLANTILLA INV. PISO (0)'!A435</f>
        <v>136623</v>
      </c>
      <c r="B439" s="350" t="str">
        <f>'PLANTILLA INV. PISO (0)'!B435</f>
        <v>TRIDENT EVUP MENTA31G KIT144(1)</v>
      </c>
      <c r="C439" s="351">
        <f>'MODIFICAR CODIGOS '!E435</f>
        <v>1</v>
      </c>
      <c r="D439" s="352">
        <f>'PLANTILLA INV. PISO (0)'!U435</f>
        <v>0</v>
      </c>
      <c r="F439" s="339">
        <f t="shared" si="24"/>
        <v>0</v>
      </c>
      <c r="G439" s="340">
        <f t="shared" si="25"/>
        <v>0</v>
      </c>
      <c r="H439" s="341">
        <f t="shared" si="26"/>
        <v>0</v>
      </c>
      <c r="I439" s="342">
        <f t="shared" si="27"/>
        <v>0</v>
      </c>
      <c r="K439" s="201"/>
    </row>
    <row r="440" spans="1:11" ht="15.6" x14ac:dyDescent="0.3">
      <c r="A440" s="350">
        <f>'PLANTILLA INV. PISO (0)'!A436</f>
        <v>0</v>
      </c>
      <c r="B440" s="350">
        <f>'PLANTILLA INV. PISO (0)'!B436</f>
        <v>0</v>
      </c>
      <c r="C440" s="351">
        <f>'MODIFICAR CODIGOS '!E436</f>
        <v>1</v>
      </c>
      <c r="D440" s="352">
        <f>'PLANTILLA INV. PISO (0)'!U436</f>
        <v>0</v>
      </c>
      <c r="F440" s="339">
        <f t="shared" si="24"/>
        <v>0</v>
      </c>
      <c r="G440" s="340">
        <f t="shared" si="25"/>
        <v>0</v>
      </c>
      <c r="H440" s="341">
        <f t="shared" si="26"/>
        <v>0</v>
      </c>
      <c r="I440" s="342">
        <f t="shared" si="27"/>
        <v>0</v>
      </c>
      <c r="K440" s="201"/>
    </row>
    <row r="441" spans="1:11" ht="15.6" x14ac:dyDescent="0.3">
      <c r="A441" s="350">
        <f>'PLANTILLA INV. PISO (0)'!A437</f>
        <v>136466</v>
      </c>
      <c r="B441" s="350" t="str">
        <f>'PLANTILLA INV. PISO (0)'!B437</f>
        <v>OREO ROLLO 109GR KIT30(1)</v>
      </c>
      <c r="C441" s="351">
        <f>'MODIFICAR CODIGOS '!E437</f>
        <v>1</v>
      </c>
      <c r="D441" s="352">
        <f>'PLANTILLA INV. PISO (0)'!U437</f>
        <v>2002</v>
      </c>
      <c r="F441" s="339">
        <f t="shared" si="24"/>
        <v>2002</v>
      </c>
      <c r="G441" s="340">
        <f t="shared" si="25"/>
        <v>0</v>
      </c>
      <c r="H441" s="341">
        <f t="shared" si="26"/>
        <v>0</v>
      </c>
      <c r="I441" s="342">
        <f t="shared" si="27"/>
        <v>2002</v>
      </c>
      <c r="K441" s="201"/>
    </row>
    <row r="442" spans="1:11" ht="15.6" x14ac:dyDescent="0.3">
      <c r="A442" s="350">
        <f>'PLANTILLA INV. PISO (0)'!A438</f>
        <v>136467</v>
      </c>
      <c r="B442" s="350" t="str">
        <f>'PLANTILLA INV. PISO (0)'!B438</f>
        <v>OREO REGULAR COL 324GR KIT18(1)</v>
      </c>
      <c r="C442" s="351">
        <f>'MODIFICAR CODIGOS '!E438</f>
        <v>1</v>
      </c>
      <c r="D442" s="352">
        <f>'PLANTILLA INV. PISO (0)'!U438</f>
        <v>502</v>
      </c>
      <c r="F442" s="339">
        <f t="shared" si="24"/>
        <v>502</v>
      </c>
      <c r="G442" s="340">
        <f t="shared" si="25"/>
        <v>0</v>
      </c>
      <c r="H442" s="341">
        <f t="shared" si="26"/>
        <v>0</v>
      </c>
      <c r="I442" s="342">
        <f t="shared" si="27"/>
        <v>502</v>
      </c>
      <c r="K442" s="201"/>
    </row>
    <row r="443" spans="1:11" ht="15.6" x14ac:dyDescent="0.3">
      <c r="A443" s="350">
        <f>'PLANTILLA INV. PISO (0)'!A439</f>
        <v>136020</v>
      </c>
      <c r="B443" s="350" t="str">
        <f>'PLANTILLA INV. PISO (0)'!B439</f>
        <v>BOCADO ATUN ACEIT 140GR KIT 48(1)</v>
      </c>
      <c r="C443" s="351">
        <f>'MODIFICAR CODIGOS '!E439</f>
        <v>1</v>
      </c>
      <c r="D443" s="352">
        <f>'PLANTILLA INV. PISO (0)'!U439</f>
        <v>139</v>
      </c>
      <c r="F443" s="339">
        <f t="shared" si="24"/>
        <v>139</v>
      </c>
      <c r="G443" s="340">
        <f t="shared" si="25"/>
        <v>0</v>
      </c>
      <c r="H443" s="341">
        <f t="shared" si="26"/>
        <v>0</v>
      </c>
      <c r="I443" s="342">
        <f t="shared" si="27"/>
        <v>139</v>
      </c>
      <c r="K443" s="201"/>
    </row>
    <row r="444" spans="1:11" ht="15.6" x14ac:dyDescent="0.3">
      <c r="A444" s="350">
        <f>'PLANTILLA INV. PISO (0)'!A440</f>
        <v>136024</v>
      </c>
      <c r="B444" s="350" t="str">
        <f>'PLANTILLA INV. PISO (0)'!B440</f>
        <v>ATUN RALL ACEITE 150GR KIT48(1)</v>
      </c>
      <c r="C444" s="351">
        <f>'MODIFICAR CODIGOS '!E440</f>
        <v>1</v>
      </c>
      <c r="D444" s="352">
        <f>'PLANTILLA INV. PISO (0)'!U440</f>
        <v>0</v>
      </c>
      <c r="F444" s="339">
        <f t="shared" si="24"/>
        <v>0</v>
      </c>
      <c r="G444" s="340">
        <f t="shared" si="25"/>
        <v>0</v>
      </c>
      <c r="H444" s="341">
        <f t="shared" si="26"/>
        <v>0</v>
      </c>
      <c r="I444" s="342">
        <f t="shared" si="27"/>
        <v>0</v>
      </c>
      <c r="K444" s="201"/>
    </row>
    <row r="445" spans="1:11" ht="15.6" x14ac:dyDescent="0.3">
      <c r="A445" s="350">
        <f>'PLANTILLA INV. PISO (0)'!A441</f>
        <v>136027</v>
      </c>
      <c r="B445" s="350" t="str">
        <f>'PLANTILLA INV. PISO (0)'!B441</f>
        <v>BOCADO ATUN AGUA 140GR KIT48(1)</v>
      </c>
      <c r="C445" s="351">
        <f>'MODIFICAR CODIGOS '!E441</f>
        <v>1</v>
      </c>
      <c r="D445" s="352">
        <f>'PLANTILLA INV. PISO (0)'!U441</f>
        <v>106</v>
      </c>
      <c r="F445" s="339">
        <f t="shared" si="24"/>
        <v>106</v>
      </c>
      <c r="G445" s="340">
        <f t="shared" si="25"/>
        <v>0</v>
      </c>
      <c r="H445" s="341">
        <f t="shared" si="26"/>
        <v>0</v>
      </c>
      <c r="I445" s="342">
        <f t="shared" si="27"/>
        <v>106</v>
      </c>
      <c r="K445" s="201"/>
    </row>
    <row r="446" spans="1:11" ht="15.6" x14ac:dyDescent="0.3">
      <c r="A446" s="350">
        <f>'PLANTILLA INV. PISO (0)'!A442</f>
        <v>0</v>
      </c>
      <c r="B446" s="350">
        <f>'PLANTILLA INV. PISO (0)'!B442</f>
        <v>0</v>
      </c>
      <c r="C446" s="351">
        <f>'MODIFICAR CODIGOS '!E442</f>
        <v>1</v>
      </c>
      <c r="D446" s="352">
        <f>'PLANTILLA INV. PISO (0)'!U442</f>
        <v>0</v>
      </c>
      <c r="F446" s="339">
        <f t="shared" si="24"/>
        <v>0</v>
      </c>
      <c r="G446" s="340">
        <f t="shared" si="25"/>
        <v>0</v>
      </c>
      <c r="H446" s="341">
        <f t="shared" si="26"/>
        <v>0</v>
      </c>
      <c r="I446" s="342">
        <f t="shared" si="27"/>
        <v>0</v>
      </c>
      <c r="K446" s="201"/>
    </row>
    <row r="447" spans="1:11" ht="15.6" x14ac:dyDescent="0.3">
      <c r="A447" s="350">
        <f>'PLANTILLA INV. PISO (0)'!A443</f>
        <v>136461</v>
      </c>
      <c r="B447" s="350" t="str">
        <f>'PLANTILLA INV. PISO (0)'!B443</f>
        <v>ZUCARITAS MEGA 115G KIT54(1)</v>
      </c>
      <c r="C447" s="351">
        <f>'MODIFICAR CODIGOS '!E443</f>
        <v>1</v>
      </c>
      <c r="D447" s="352">
        <f>'PLANTILLA INV. PISO (0)'!U443</f>
        <v>0</v>
      </c>
      <c r="F447" s="339">
        <f t="shared" si="24"/>
        <v>0</v>
      </c>
      <c r="G447" s="340">
        <f t="shared" si="25"/>
        <v>0</v>
      </c>
      <c r="H447" s="341">
        <f t="shared" si="26"/>
        <v>0</v>
      </c>
      <c r="I447" s="342">
        <f t="shared" si="27"/>
        <v>0</v>
      </c>
      <c r="K447" s="201"/>
    </row>
    <row r="448" spans="1:11" ht="15.6" x14ac:dyDescent="0.3">
      <c r="A448" s="350">
        <f>'PLANTILLA INV. PISO (0)'!A444</f>
        <v>136462</v>
      </c>
      <c r="B448" s="350" t="str">
        <f>'PLANTILLA INV. PISO (0)'!B444</f>
        <v>CHOKRISPIS MEGA 115G KIT54(1)</v>
      </c>
      <c r="C448" s="351">
        <f>'MODIFICAR CODIGOS '!E444</f>
        <v>1</v>
      </c>
      <c r="D448" s="352">
        <f>'PLANTILLA INV. PISO (0)'!U444</f>
        <v>0</v>
      </c>
      <c r="F448" s="339">
        <f t="shared" si="24"/>
        <v>0</v>
      </c>
      <c r="G448" s="340">
        <f t="shared" si="25"/>
        <v>0</v>
      </c>
      <c r="H448" s="341">
        <f t="shared" si="26"/>
        <v>0</v>
      </c>
      <c r="I448" s="342">
        <f t="shared" si="27"/>
        <v>0</v>
      </c>
      <c r="K448" s="201"/>
    </row>
    <row r="449" spans="1:11" ht="15.6" x14ac:dyDescent="0.3">
      <c r="A449" s="350">
        <f>'PLANTILLA INV. PISO (0)'!A445</f>
        <v>136465</v>
      </c>
      <c r="B449" s="350" t="str">
        <f>'PLANTILLA INV. PISO (0)'!B445</f>
        <v>FROOT LOOPS MEGA 90GR KIT54(1)</v>
      </c>
      <c r="C449" s="351">
        <f>'MODIFICAR CODIGOS '!E445</f>
        <v>1</v>
      </c>
      <c r="D449" s="352">
        <f>'PLANTILLA INV. PISO (0)'!U445</f>
        <v>0</v>
      </c>
      <c r="F449" s="339">
        <f t="shared" si="24"/>
        <v>0</v>
      </c>
      <c r="G449" s="340">
        <f t="shared" si="25"/>
        <v>0</v>
      </c>
      <c r="H449" s="341">
        <f t="shared" si="26"/>
        <v>0</v>
      </c>
      <c r="I449" s="342">
        <f t="shared" si="27"/>
        <v>0</v>
      </c>
      <c r="K449" s="201"/>
    </row>
    <row r="450" spans="1:11" ht="15.6" x14ac:dyDescent="0.3">
      <c r="A450" s="350">
        <f>'PLANTILLA INV. PISO (0)'!A446</f>
        <v>136559</v>
      </c>
      <c r="B450" s="350" t="str">
        <f>'PLANTILLA INV. PISO (0)'!B446</f>
        <v>ZUCARITAS 240GR KIT30(1)</v>
      </c>
      <c r="C450" s="351">
        <f>'MODIFICAR CODIGOS '!E446</f>
        <v>1</v>
      </c>
      <c r="D450" s="352">
        <f>'PLANTILLA INV. PISO (0)'!U446</f>
        <v>158</v>
      </c>
      <c r="F450" s="339">
        <f t="shared" si="24"/>
        <v>158</v>
      </c>
      <c r="G450" s="340">
        <f t="shared" si="25"/>
        <v>0</v>
      </c>
      <c r="H450" s="341">
        <f t="shared" si="26"/>
        <v>0</v>
      </c>
      <c r="I450" s="342">
        <f t="shared" si="27"/>
        <v>158</v>
      </c>
      <c r="K450" s="201"/>
    </row>
    <row r="451" spans="1:11" ht="15.6" x14ac:dyDescent="0.3">
      <c r="A451" s="350">
        <f>'PLANTILLA INV. PISO (0)'!A447</f>
        <v>136560</v>
      </c>
      <c r="B451" s="350" t="str">
        <f>'PLANTILLA INV. PISO (0)'!B447</f>
        <v>CHOCO KRISPIS 240GR KIT30(1)</v>
      </c>
      <c r="C451" s="351">
        <f>'MODIFICAR CODIGOS '!E447</f>
        <v>1</v>
      </c>
      <c r="D451" s="352">
        <f>'PLANTILLA INV. PISO (0)'!U447</f>
        <v>31</v>
      </c>
      <c r="F451" s="339">
        <f t="shared" si="24"/>
        <v>31</v>
      </c>
      <c r="G451" s="340">
        <f t="shared" si="25"/>
        <v>0</v>
      </c>
      <c r="H451" s="341">
        <f t="shared" si="26"/>
        <v>0</v>
      </c>
      <c r="I451" s="342">
        <f t="shared" si="27"/>
        <v>31</v>
      </c>
      <c r="K451" s="201"/>
    </row>
    <row r="452" spans="1:11" ht="15.6" x14ac:dyDescent="0.3">
      <c r="A452" s="350">
        <f>'PLANTILLA INV. PISO (0)'!A448</f>
        <v>136561</v>
      </c>
      <c r="B452" s="350" t="str">
        <f>'PLANTILLA INV. PISO (0)'!B448</f>
        <v>FROOT LOOPS 200GR KIT30(1)</v>
      </c>
      <c r="C452" s="351">
        <f>'MODIFICAR CODIGOS '!E448</f>
        <v>1</v>
      </c>
      <c r="D452" s="352">
        <f>'PLANTILLA INV. PISO (0)'!U448</f>
        <v>67</v>
      </c>
      <c r="F452" s="339">
        <f t="shared" si="24"/>
        <v>67</v>
      </c>
      <c r="G452" s="340">
        <f t="shared" si="25"/>
        <v>0</v>
      </c>
      <c r="H452" s="341">
        <f t="shared" si="26"/>
        <v>0</v>
      </c>
      <c r="I452" s="342">
        <f t="shared" si="27"/>
        <v>67</v>
      </c>
      <c r="K452" s="201"/>
    </row>
    <row r="453" spans="1:11" ht="15.6" x14ac:dyDescent="0.3">
      <c r="A453" s="350">
        <f>'PLANTILLA INV. PISO (0)'!A449</f>
        <v>136622</v>
      </c>
      <c r="B453" s="350" t="str">
        <f>'PLANTILLA INV. PISO (0)'!B449</f>
        <v>CHOCOLORES SURT 540G KIT12(1)</v>
      </c>
      <c r="C453" s="351">
        <f>'MODIFICAR CODIGOS '!E449</f>
        <v>1</v>
      </c>
      <c r="D453" s="352">
        <f>'PLANTILLA INV. PISO (0)'!U449</f>
        <v>222</v>
      </c>
      <c r="F453" s="339">
        <f t="shared" si="24"/>
        <v>222</v>
      </c>
      <c r="G453" s="340">
        <f t="shared" si="25"/>
        <v>0</v>
      </c>
      <c r="H453" s="341">
        <f t="shared" si="26"/>
        <v>0</v>
      </c>
      <c r="I453" s="342">
        <f t="shared" si="27"/>
        <v>222</v>
      </c>
      <c r="K453" s="201"/>
    </row>
    <row r="454" spans="1:11" ht="15.6" x14ac:dyDescent="0.3">
      <c r="A454" s="350">
        <f>'PLANTILLA INV. PISO (0)'!A450</f>
        <v>0</v>
      </c>
      <c r="B454" s="350">
        <f>'PLANTILLA INV. PISO (0)'!B450</f>
        <v>0</v>
      </c>
      <c r="C454" s="351">
        <f>'MODIFICAR CODIGOS '!E450</f>
        <v>1</v>
      </c>
      <c r="D454" s="352">
        <f>'PLANTILLA INV. PISO (0)'!U450</f>
        <v>0</v>
      </c>
      <c r="F454" s="339">
        <f t="shared" si="24"/>
        <v>0</v>
      </c>
      <c r="G454" s="340">
        <f t="shared" si="25"/>
        <v>0</v>
      </c>
      <c r="H454" s="341">
        <f t="shared" si="26"/>
        <v>0</v>
      </c>
      <c r="I454" s="342">
        <f t="shared" si="27"/>
        <v>0</v>
      </c>
      <c r="K454" s="201"/>
    </row>
    <row r="455" spans="1:11" ht="15.6" x14ac:dyDescent="0.3">
      <c r="A455" s="350">
        <f>'PLANTILLA INV. PISO (0)'!A451</f>
        <v>136474</v>
      </c>
      <c r="B455" s="350" t="str">
        <f>'PLANTILLA INV. PISO (0)'!B451</f>
        <v>ATUN ISABEL ACEI 142G KIT48(1)</v>
      </c>
      <c r="C455" s="351">
        <f>'MODIFICAR CODIGOS '!E451</f>
        <v>1</v>
      </c>
      <c r="D455" s="352">
        <f>'PLANTILLA INV. PISO (0)'!U451</f>
        <v>584</v>
      </c>
      <c r="F455" s="339">
        <f t="shared" ref="F455:F495" si="28">ROUNDDOWN(D455,0)</f>
        <v>584</v>
      </c>
      <c r="G455" s="340">
        <f t="shared" ref="G455:G495" si="29">+(D455-F455)*100</f>
        <v>0</v>
      </c>
      <c r="H455" s="341">
        <f t="shared" ref="H455:H495" si="30">G455/C455</f>
        <v>0</v>
      </c>
      <c r="I455" s="342">
        <f t="shared" ref="I455:I495" si="31">F455+H455</f>
        <v>584</v>
      </c>
      <c r="K455" s="201"/>
    </row>
    <row r="456" spans="1:11" ht="15.6" x14ac:dyDescent="0.3">
      <c r="A456" s="350" t="str">
        <f>'PLANTILLA INV. PISO (0)'!A452</f>
        <v>CODIGO</v>
      </c>
      <c r="B456" s="350" t="str">
        <f>'PLANTILLA INV. PISO (0)'!B452</f>
        <v xml:space="preserve">INVENTARIO ENVASE </v>
      </c>
      <c r="C456" s="351">
        <f>'MODIFICAR CODIGOS '!E452</f>
        <v>0</v>
      </c>
      <c r="D456" s="352" t="str">
        <f>'PLANTILLA INV. PISO (0)'!U452</f>
        <v>TOTAL</v>
      </c>
      <c r="F456" s="339" t="e">
        <f t="shared" si="28"/>
        <v>#VALUE!</v>
      </c>
      <c r="G456" s="340" t="e">
        <f t="shared" si="29"/>
        <v>#VALUE!</v>
      </c>
      <c r="H456" s="341" t="e">
        <f t="shared" si="30"/>
        <v>#VALUE!</v>
      </c>
      <c r="I456" s="342" t="e">
        <f t="shared" si="31"/>
        <v>#VALUE!</v>
      </c>
      <c r="K456" s="201"/>
    </row>
    <row r="457" spans="1:11" ht="15.6" x14ac:dyDescent="0.3">
      <c r="A457" s="353">
        <f>'PLANTILLA INV. PISO (0)'!A453</f>
        <v>184016</v>
      </c>
      <c r="B457" s="353" t="str">
        <f>'PLANTILLA INV. PISO (0)'!B453</f>
        <v>BOT COCA-COLA 6,5OZ</v>
      </c>
      <c r="C457" s="354">
        <f>'MODIFICAR CODIGOS '!E453</f>
        <v>30</v>
      </c>
      <c r="D457" s="352">
        <v>0</v>
      </c>
      <c r="F457" s="339">
        <f t="shared" si="28"/>
        <v>0</v>
      </c>
      <c r="G457" s="340">
        <f t="shared" si="29"/>
        <v>0</v>
      </c>
      <c r="H457" s="341">
        <f t="shared" si="30"/>
        <v>0</v>
      </c>
      <c r="I457" s="342">
        <f t="shared" si="31"/>
        <v>0</v>
      </c>
      <c r="K457" s="201"/>
    </row>
    <row r="458" spans="1:11" ht="15.6" x14ac:dyDescent="0.3">
      <c r="A458" s="353">
        <f>'PLANTILLA INV. PISO (0)'!A454</f>
        <v>184025</v>
      </c>
      <c r="B458" s="353" t="str">
        <f>'PLANTILLA INV. PISO (0)'!B454</f>
        <v>BOT QUATRO 6,5 OZ</v>
      </c>
      <c r="C458" s="354">
        <f>'MODIFICAR CODIGOS '!E454</f>
        <v>30</v>
      </c>
      <c r="D458" s="352">
        <f>'PLANTILLA INV. PISO (0)'!U454</f>
        <v>142</v>
      </c>
      <c r="F458" s="339">
        <f t="shared" si="28"/>
        <v>142</v>
      </c>
      <c r="G458" s="340">
        <f t="shared" si="29"/>
        <v>0</v>
      </c>
      <c r="H458" s="341">
        <f t="shared" si="30"/>
        <v>0</v>
      </c>
      <c r="I458" s="342">
        <f t="shared" si="31"/>
        <v>142</v>
      </c>
      <c r="K458" s="201"/>
    </row>
    <row r="459" spans="1:11" ht="15.6" x14ac:dyDescent="0.3">
      <c r="A459" s="350">
        <f>'PLANTILLA INV. PISO (0)'!A455</f>
        <v>0</v>
      </c>
      <c r="B459" s="350">
        <f>'PLANTILLA INV. PISO (0)'!B455</f>
        <v>0</v>
      </c>
      <c r="C459" s="351">
        <f>'MODIFICAR CODIGOS '!E455</f>
        <v>30</v>
      </c>
      <c r="D459" s="352">
        <f>'PLANTILLA INV. PISO (0)'!U455</f>
        <v>0</v>
      </c>
      <c r="F459" s="339">
        <f t="shared" si="28"/>
        <v>0</v>
      </c>
      <c r="G459" s="340">
        <f t="shared" si="29"/>
        <v>0</v>
      </c>
      <c r="H459" s="341">
        <f t="shared" si="30"/>
        <v>0</v>
      </c>
      <c r="I459" s="342">
        <f t="shared" si="31"/>
        <v>0</v>
      </c>
      <c r="K459" s="201"/>
    </row>
    <row r="460" spans="1:11" ht="15.6" x14ac:dyDescent="0.3">
      <c r="A460" s="353">
        <f>'PLANTILLA INV. PISO (0)'!A456</f>
        <v>184026</v>
      </c>
      <c r="B460" s="353" t="str">
        <f>'PLANTILLA INV. PISO (0)'!B456</f>
        <v>BOT SPRITE VIR 6,5 OZ</v>
      </c>
      <c r="C460" s="354">
        <f>'MODIFICAR CODIGOS '!E456</f>
        <v>30</v>
      </c>
      <c r="D460" s="352">
        <f>'PLANTILLA INV. PISO (0)'!U456</f>
        <v>90</v>
      </c>
      <c r="F460" s="339">
        <f t="shared" si="28"/>
        <v>90</v>
      </c>
      <c r="G460" s="340">
        <f t="shared" si="29"/>
        <v>0</v>
      </c>
      <c r="H460" s="341">
        <f t="shared" si="30"/>
        <v>0</v>
      </c>
      <c r="I460" s="342">
        <f t="shared" si="31"/>
        <v>90</v>
      </c>
      <c r="K460" s="201"/>
    </row>
    <row r="461" spans="1:11" ht="15.6" x14ac:dyDescent="0.3">
      <c r="A461" s="350">
        <f>'PLANTILLA INV. PISO (0)'!A457</f>
        <v>0</v>
      </c>
      <c r="B461" s="350">
        <f>'PLANTILLA INV. PISO (0)'!B457</f>
        <v>0</v>
      </c>
      <c r="C461" s="351">
        <f>'MODIFICAR CODIGOS '!E457</f>
        <v>30</v>
      </c>
      <c r="D461" s="352">
        <f>'PLANTILLA INV. PISO (0)'!U457</f>
        <v>0</v>
      </c>
      <c r="F461" s="339">
        <f t="shared" si="28"/>
        <v>0</v>
      </c>
      <c r="G461" s="340">
        <f t="shared" si="29"/>
        <v>0</v>
      </c>
      <c r="H461" s="341">
        <f t="shared" si="30"/>
        <v>0</v>
      </c>
      <c r="I461" s="342">
        <f t="shared" si="31"/>
        <v>0</v>
      </c>
      <c r="K461" s="201"/>
    </row>
    <row r="462" spans="1:11" ht="15.6" x14ac:dyDescent="0.3">
      <c r="A462" s="353">
        <f>'PLANTILLA INV. PISO (0)'!A458</f>
        <v>184041</v>
      </c>
      <c r="B462" s="353" t="str">
        <f>'PLANTILLA INV. PISO (0)'!B458</f>
        <v>PREMIO ROJO 250 ML</v>
      </c>
      <c r="C462" s="354">
        <f>'MODIFICAR CODIGOS '!E458</f>
        <v>30</v>
      </c>
      <c r="D462" s="352">
        <f>'PLANTILLA INV. PISO (0)'!U458</f>
        <v>1</v>
      </c>
      <c r="F462" s="339">
        <f t="shared" si="28"/>
        <v>1</v>
      </c>
      <c r="G462" s="340">
        <f t="shared" si="29"/>
        <v>0</v>
      </c>
      <c r="H462" s="341">
        <f t="shared" si="30"/>
        <v>0</v>
      </c>
      <c r="I462" s="342">
        <f t="shared" si="31"/>
        <v>1</v>
      </c>
      <c r="K462" s="201"/>
    </row>
    <row r="463" spans="1:11" ht="15.6" x14ac:dyDescent="0.3">
      <c r="A463" s="350">
        <f>'PLANTILLA INV. PISO (0)'!A459</f>
        <v>0</v>
      </c>
      <c r="B463" s="350">
        <f>'PLANTILLA INV. PISO (0)'!B459</f>
        <v>0</v>
      </c>
      <c r="C463" s="351">
        <f>'MODIFICAR CODIGOS '!E459</f>
        <v>30</v>
      </c>
      <c r="D463" s="352">
        <f>'PLANTILLA INV. PISO (0)'!U459</f>
        <v>0</v>
      </c>
      <c r="F463" s="339">
        <f t="shared" si="28"/>
        <v>0</v>
      </c>
      <c r="G463" s="340">
        <f t="shared" si="29"/>
        <v>0</v>
      </c>
      <c r="H463" s="341">
        <f t="shared" si="30"/>
        <v>0</v>
      </c>
      <c r="I463" s="342">
        <f t="shared" si="31"/>
        <v>0</v>
      </c>
      <c r="K463" s="201"/>
    </row>
    <row r="464" spans="1:11" ht="15.6" x14ac:dyDescent="0.3">
      <c r="A464" s="350" t="str">
        <f>'PLANTILLA INV. PISO (0)'!A460</f>
        <v>*</v>
      </c>
      <c r="B464" s="350">
        <f>'PLANTILLA INV. PISO (0)'!B460</f>
        <v>0</v>
      </c>
      <c r="C464" s="351">
        <f>'MODIFICAR CODIGOS '!E460</f>
        <v>0</v>
      </c>
      <c r="D464" s="352">
        <f>'PLANTILLA INV. PISO (0)'!U460</f>
        <v>0</v>
      </c>
      <c r="F464" s="339">
        <f t="shared" si="28"/>
        <v>0</v>
      </c>
      <c r="G464" s="340">
        <f t="shared" si="29"/>
        <v>0</v>
      </c>
      <c r="H464" s="341" t="e">
        <f t="shared" si="30"/>
        <v>#DIV/0!</v>
      </c>
      <c r="I464" s="342" t="e">
        <f t="shared" si="31"/>
        <v>#DIV/0!</v>
      </c>
      <c r="K464" s="201"/>
    </row>
    <row r="465" spans="1:11" ht="15.6" x14ac:dyDescent="0.3">
      <c r="A465" s="353">
        <f>'PLANTILLA INV. PISO (0)'!A461</f>
        <v>184017</v>
      </c>
      <c r="B465" s="353" t="str">
        <f>'PLANTILLA INV. PISO (0)'!B461</f>
        <v>BOT COCA-COLA 350ML</v>
      </c>
      <c r="C465" s="354">
        <f>'MODIFICAR CODIGOS '!E461</f>
        <v>30</v>
      </c>
      <c r="D465" s="352">
        <f>'PLANTILLA INV. PISO (0)'!U461</f>
        <v>558</v>
      </c>
      <c r="F465" s="339">
        <f t="shared" si="28"/>
        <v>558</v>
      </c>
      <c r="G465" s="340">
        <f t="shared" si="29"/>
        <v>0</v>
      </c>
      <c r="H465" s="341">
        <f t="shared" si="30"/>
        <v>0</v>
      </c>
      <c r="I465" s="342">
        <f t="shared" si="31"/>
        <v>558</v>
      </c>
      <c r="K465" s="201"/>
    </row>
    <row r="466" spans="1:11" ht="15.6" x14ac:dyDescent="0.3">
      <c r="A466" s="353">
        <f>'PLANTILLA INV. PISO (0)'!A462</f>
        <v>184038</v>
      </c>
      <c r="B466" s="353" t="str">
        <f>'PLANTILLA INV. PISO (0)'!B462</f>
        <v>BOTELLA COCA COLA ZERO 350 ML VIR</v>
      </c>
      <c r="C466" s="354">
        <f>'MODIFICAR CODIGOS '!E462</f>
        <v>30</v>
      </c>
      <c r="D466" s="352">
        <f>'PLANTILLA INV. PISO (0)'!U462</f>
        <v>103</v>
      </c>
      <c r="F466" s="339">
        <f t="shared" si="28"/>
        <v>103</v>
      </c>
      <c r="G466" s="340">
        <f t="shared" si="29"/>
        <v>0</v>
      </c>
      <c r="H466" s="341">
        <f t="shared" si="30"/>
        <v>0</v>
      </c>
      <c r="I466" s="342">
        <f t="shared" si="31"/>
        <v>103</v>
      </c>
      <c r="K466" s="201"/>
    </row>
    <row r="467" spans="1:11" ht="15.6" x14ac:dyDescent="0.3">
      <c r="A467" s="350">
        <f>'PLANTILLA INV. PISO (0)'!A463</f>
        <v>0</v>
      </c>
      <c r="B467" s="350">
        <f>'PLANTILLA INV. PISO (0)'!B463</f>
        <v>0</v>
      </c>
      <c r="C467" s="351">
        <f>'MODIFICAR CODIGOS '!E463</f>
        <v>30</v>
      </c>
      <c r="D467" s="352">
        <f>'PLANTILLA INV. PISO (0)'!U463</f>
        <v>0</v>
      </c>
      <c r="F467" s="339">
        <f t="shared" si="28"/>
        <v>0</v>
      </c>
      <c r="G467" s="340">
        <f t="shared" si="29"/>
        <v>0</v>
      </c>
      <c r="H467" s="341">
        <f t="shared" si="30"/>
        <v>0</v>
      </c>
      <c r="I467" s="342">
        <f t="shared" si="31"/>
        <v>0</v>
      </c>
      <c r="K467" s="201"/>
    </row>
    <row r="468" spans="1:11" ht="15.6" x14ac:dyDescent="0.3">
      <c r="A468" s="353">
        <f>'PLANTILLA INV. PISO (0)'!A464</f>
        <v>183131</v>
      </c>
      <c r="B468" s="353" t="str">
        <f>'PLANTILLA INV. PISO (0)'!B464</f>
        <v>BOTELLA FRUTAL 350 ML VIR</v>
      </c>
      <c r="C468" s="354">
        <f>'MODIFICAR CODIGOS '!E464</f>
        <v>30</v>
      </c>
      <c r="D468" s="352">
        <f>'PLANTILLA INV. PISO (0)'!U464</f>
        <v>0</v>
      </c>
      <c r="F468" s="339">
        <f t="shared" si="28"/>
        <v>0</v>
      </c>
      <c r="G468" s="340">
        <f t="shared" si="29"/>
        <v>0</v>
      </c>
      <c r="H468" s="341">
        <f t="shared" si="30"/>
        <v>0</v>
      </c>
      <c r="I468" s="342">
        <f t="shared" si="31"/>
        <v>0</v>
      </c>
      <c r="K468" s="201"/>
    </row>
    <row r="469" spans="1:11" ht="15.6" x14ac:dyDescent="0.3">
      <c r="A469" s="353">
        <f>'PLANTILLA INV. PISO (0)'!A465</f>
        <v>184019</v>
      </c>
      <c r="B469" s="353" t="str">
        <f>'PLANTILLA INV. PISO (0)'!B465</f>
        <v>BOT QUATRO 350ML</v>
      </c>
      <c r="C469" s="354">
        <f>'MODIFICAR CODIGOS '!E465</f>
        <v>30</v>
      </c>
      <c r="D469" s="352">
        <f>'PLANTILLA INV. PISO (0)'!U465</f>
        <v>190</v>
      </c>
      <c r="F469" s="339">
        <f t="shared" si="28"/>
        <v>190</v>
      </c>
      <c r="G469" s="340">
        <f t="shared" si="29"/>
        <v>0</v>
      </c>
      <c r="H469" s="341">
        <f t="shared" si="30"/>
        <v>0</v>
      </c>
      <c r="I469" s="342">
        <f t="shared" si="31"/>
        <v>190</v>
      </c>
      <c r="K469" s="201"/>
    </row>
    <row r="470" spans="1:11" ht="15.6" x14ac:dyDescent="0.3">
      <c r="A470" s="353">
        <f>'PLANTILLA INV. PISO (0)'!A466</f>
        <v>184020</v>
      </c>
      <c r="B470" s="353" t="str">
        <f>'PLANTILLA INV. PISO (0)'!B466</f>
        <v>BOT SPRITE 350ML</v>
      </c>
      <c r="C470" s="354">
        <f>'MODIFICAR CODIGOS '!E466</f>
        <v>30</v>
      </c>
      <c r="D470" s="352">
        <f>'PLANTILLA INV. PISO (0)'!U466</f>
        <v>106</v>
      </c>
      <c r="F470" s="339">
        <f t="shared" si="28"/>
        <v>106</v>
      </c>
      <c r="G470" s="340">
        <f t="shared" si="29"/>
        <v>0</v>
      </c>
      <c r="H470" s="341">
        <f t="shared" si="30"/>
        <v>0</v>
      </c>
      <c r="I470" s="342">
        <f t="shared" si="31"/>
        <v>106</v>
      </c>
    </row>
    <row r="471" spans="1:11" ht="15.6" x14ac:dyDescent="0.3">
      <c r="A471" s="353">
        <f>'PLANTILLA INV. PISO (0)'!A467</f>
        <v>184022</v>
      </c>
      <c r="B471" s="353" t="str">
        <f>'PLANTILLA INV. PISO (0)'!B467</f>
        <v>BOT PREMIO 350 ML</v>
      </c>
      <c r="C471" s="354">
        <f>'MODIFICAR CODIGOS '!E467</f>
        <v>30</v>
      </c>
      <c r="D471" s="352">
        <f>'PLANTILLA INV. PISO (0)'!U467</f>
        <v>51</v>
      </c>
      <c r="F471" s="339">
        <f t="shared" si="28"/>
        <v>51</v>
      </c>
      <c r="G471" s="340">
        <f t="shared" si="29"/>
        <v>0</v>
      </c>
      <c r="H471" s="341">
        <f t="shared" si="30"/>
        <v>0</v>
      </c>
      <c r="I471" s="342">
        <f t="shared" si="31"/>
        <v>51</v>
      </c>
    </row>
    <row r="472" spans="1:11" ht="15.6" x14ac:dyDescent="0.3">
      <c r="A472" s="353">
        <f>'PLANTILLA INV. PISO (0)'!A468</f>
        <v>184035</v>
      </c>
      <c r="B472" s="353" t="str">
        <f>'PLANTILLA INV. PISO (0)'!B468</f>
        <v>BOTELLA SCHWEPPES 350 ML VIR</v>
      </c>
      <c r="C472" s="354">
        <f>'MODIFICAR CODIGOS '!E468</f>
        <v>30</v>
      </c>
      <c r="D472" s="352">
        <f>'PLANTILLA INV. PISO (0)'!U468</f>
        <v>47</v>
      </c>
      <c r="F472" s="339">
        <f t="shared" si="28"/>
        <v>47</v>
      </c>
      <c r="G472" s="340">
        <f t="shared" si="29"/>
        <v>0</v>
      </c>
      <c r="H472" s="341">
        <f t="shared" si="30"/>
        <v>0</v>
      </c>
      <c r="I472" s="342">
        <f t="shared" si="31"/>
        <v>47</v>
      </c>
    </row>
    <row r="473" spans="1:11" ht="15.6" x14ac:dyDescent="0.3">
      <c r="A473" s="353">
        <f>'PLANTILLA INV. PISO (0)'!A469</f>
        <v>184030</v>
      </c>
      <c r="B473" s="353" t="str">
        <f>'PLANTILLA INV. PISO (0)'!B469</f>
        <v>BOT COCA-COLA 1.25LT</v>
      </c>
      <c r="C473" s="354">
        <f>'MODIFICAR CODIGOS '!E469</f>
        <v>30</v>
      </c>
      <c r="D473" s="352">
        <f>'PLANTILLA INV. PISO (0)'!U469</f>
        <v>44</v>
      </c>
      <c r="F473" s="339">
        <f t="shared" si="28"/>
        <v>44</v>
      </c>
      <c r="G473" s="340">
        <f t="shared" si="29"/>
        <v>0</v>
      </c>
      <c r="H473" s="341">
        <f t="shared" si="30"/>
        <v>0</v>
      </c>
      <c r="I473" s="342">
        <f t="shared" si="31"/>
        <v>44</v>
      </c>
    </row>
    <row r="474" spans="1:11" ht="15.6" x14ac:dyDescent="0.3">
      <c r="A474" s="350" t="str">
        <f>'PLANTILLA INV. PISO (0)'!A470</f>
        <v>*</v>
      </c>
      <c r="B474" s="350">
        <f>'PLANTILLA INV. PISO (0)'!B470</f>
        <v>0</v>
      </c>
      <c r="C474" s="351">
        <f>'MODIFICAR CODIGOS '!E470</f>
        <v>0</v>
      </c>
      <c r="D474" s="352">
        <f>'PLANTILLA INV. PISO (0)'!U470</f>
        <v>0</v>
      </c>
      <c r="F474" s="339">
        <f t="shared" si="28"/>
        <v>0</v>
      </c>
      <c r="G474" s="340">
        <f t="shared" si="29"/>
        <v>0</v>
      </c>
      <c r="H474" s="341" t="e">
        <f t="shared" si="30"/>
        <v>#DIV/0!</v>
      </c>
      <c r="I474" s="342" t="e">
        <f t="shared" si="31"/>
        <v>#DIV/0!</v>
      </c>
    </row>
    <row r="475" spans="1:11" ht="15.6" x14ac:dyDescent="0.3">
      <c r="A475" s="353">
        <f>'PLANTILLA INV. PISO (0)'!A471</f>
        <v>184013</v>
      </c>
      <c r="B475" s="353" t="str">
        <f>'PLANTILLA INV. PISO (0)'!B471</f>
        <v>CILINDRO 20KL</v>
      </c>
      <c r="C475" s="354">
        <f>'MODIFICAR CODIGOS '!E471</f>
        <v>1</v>
      </c>
      <c r="D475" s="352">
        <f>'PLANTILLA INV. PISO (0)'!U471</f>
        <v>6</v>
      </c>
      <c r="F475" s="339">
        <f t="shared" si="28"/>
        <v>6</v>
      </c>
      <c r="G475" s="340">
        <f t="shared" si="29"/>
        <v>0</v>
      </c>
      <c r="H475" s="341">
        <f t="shared" si="30"/>
        <v>0</v>
      </c>
      <c r="I475" s="342">
        <f t="shared" si="31"/>
        <v>6</v>
      </c>
    </row>
    <row r="476" spans="1:11" ht="15.6" x14ac:dyDescent="0.3">
      <c r="A476" s="353">
        <f>'PLANTILLA INV. PISO (0)'!A472</f>
        <v>184002</v>
      </c>
      <c r="B476" s="353" t="str">
        <f>'PLANTILLA INV. PISO (0)'!B472</f>
        <v>BOTELLON DE AGUA 5 GLN</v>
      </c>
      <c r="C476" s="354">
        <f>'MODIFICAR CODIGOS '!E472</f>
        <v>1</v>
      </c>
      <c r="D476" s="352">
        <f>'PLANTILLA INV. PISO (0)'!U472</f>
        <v>98</v>
      </c>
      <c r="F476" s="339">
        <f t="shared" si="28"/>
        <v>98</v>
      </c>
      <c r="G476" s="340">
        <f t="shared" si="29"/>
        <v>0</v>
      </c>
      <c r="H476" s="341">
        <f t="shared" si="30"/>
        <v>0</v>
      </c>
      <c r="I476" s="342">
        <f t="shared" si="31"/>
        <v>98</v>
      </c>
    </row>
    <row r="477" spans="1:11" ht="15.6" x14ac:dyDescent="0.3">
      <c r="A477" s="350" t="str">
        <f>'PLANTILLA INV. PISO (0)'!A473</f>
        <v>*</v>
      </c>
      <c r="B477" s="350">
        <f>'PLANTILLA INV. PISO (0)'!B473</f>
        <v>0</v>
      </c>
      <c r="C477" s="351">
        <f>'MODIFICAR CODIGOS '!E473</f>
        <v>0</v>
      </c>
      <c r="D477" s="352">
        <f>'PLANTILLA INV. PISO (0)'!U473</f>
        <v>0</v>
      </c>
      <c r="F477" s="339">
        <f t="shared" si="28"/>
        <v>0</v>
      </c>
      <c r="G477" s="340">
        <f t="shared" si="29"/>
        <v>0</v>
      </c>
      <c r="H477" s="341" t="e">
        <f t="shared" si="30"/>
        <v>#DIV/0!</v>
      </c>
      <c r="I477" s="342" t="e">
        <f t="shared" si="31"/>
        <v>#DIV/0!</v>
      </c>
    </row>
    <row r="478" spans="1:11" ht="15.6" x14ac:dyDescent="0.3">
      <c r="A478" s="353">
        <f>'PLANTILLA INV. PISO (0)'!A474</f>
        <v>184008</v>
      </c>
      <c r="B478" s="353" t="str">
        <f>'PLANTILLA INV. PISO (0)'!B474</f>
        <v>CANASTA PLASTICA 30UN</v>
      </c>
      <c r="C478" s="354">
        <f>'MODIFICAR CODIGOS '!E474</f>
        <v>1</v>
      </c>
      <c r="D478" s="352">
        <f>'PLANTILLA INV. PISO (0)'!U474</f>
        <v>30</v>
      </c>
      <c r="F478" s="339">
        <f t="shared" si="28"/>
        <v>30</v>
      </c>
      <c r="G478" s="340">
        <f t="shared" si="29"/>
        <v>0</v>
      </c>
      <c r="H478" s="341">
        <f t="shared" si="30"/>
        <v>0</v>
      </c>
      <c r="I478" s="342">
        <f t="shared" si="31"/>
        <v>30</v>
      </c>
    </row>
    <row r="479" spans="1:11" ht="15.6" x14ac:dyDescent="0.3">
      <c r="A479" s="353">
        <f>'PLANTILLA INV. PISO (0)'!A475</f>
        <v>184009</v>
      </c>
      <c r="B479" s="353" t="str">
        <f>'PLANTILLA INV. PISO (0)'!B475</f>
        <v>CANASTA PLASTICA 12UN</v>
      </c>
      <c r="C479" s="354">
        <f>'MODIFICAR CODIGOS '!E475</f>
        <v>1</v>
      </c>
      <c r="D479" s="352">
        <f>'PLANTILLA INV. PISO (0)'!U475</f>
        <v>30</v>
      </c>
      <c r="F479" s="339">
        <f t="shared" si="28"/>
        <v>30</v>
      </c>
      <c r="G479" s="340">
        <f t="shared" si="29"/>
        <v>0</v>
      </c>
      <c r="H479" s="341">
        <f t="shared" si="30"/>
        <v>0</v>
      </c>
      <c r="I479" s="342">
        <f t="shared" si="31"/>
        <v>30</v>
      </c>
    </row>
    <row r="480" spans="1:11" ht="15.6" x14ac:dyDescent="0.3">
      <c r="A480" s="350" t="str">
        <f>'PLANTILLA INV. PISO (0)'!A476</f>
        <v>*</v>
      </c>
      <c r="B480" s="350">
        <f>'PLANTILLA INV. PISO (0)'!B476</f>
        <v>0</v>
      </c>
      <c r="C480" s="351">
        <f>'MODIFICAR CODIGOS '!E476</f>
        <v>0</v>
      </c>
      <c r="D480" s="352">
        <f>'PLANTILLA INV. PISO (0)'!U476</f>
        <v>0</v>
      </c>
      <c r="F480" s="339">
        <f t="shared" si="28"/>
        <v>0</v>
      </c>
      <c r="G480" s="340">
        <f t="shared" si="29"/>
        <v>0</v>
      </c>
      <c r="H480" s="341" t="e">
        <f t="shared" si="30"/>
        <v>#DIV/0!</v>
      </c>
      <c r="I480" s="342" t="e">
        <f t="shared" si="31"/>
        <v>#DIV/0!</v>
      </c>
    </row>
    <row r="481" spans="1:9" ht="15.6" x14ac:dyDescent="0.3">
      <c r="A481" s="353">
        <f>'PLANTILLA INV. PISO (0)'!A477</f>
        <v>184001</v>
      </c>
      <c r="B481" s="353" t="str">
        <f>'PLANTILLA INV. PISO (0)'!B477</f>
        <v>CANASTA PLASTICA BRISA</v>
      </c>
      <c r="C481" s="354">
        <f>'MODIFICAR CODIGOS '!E477</f>
        <v>1</v>
      </c>
      <c r="D481" s="352">
        <f>'PLANTILLA INV. PISO (0)'!U477</f>
        <v>0</v>
      </c>
      <c r="F481" s="339">
        <f t="shared" si="28"/>
        <v>0</v>
      </c>
      <c r="G481" s="340">
        <f t="shared" si="29"/>
        <v>0</v>
      </c>
      <c r="H481" s="341">
        <f t="shared" si="30"/>
        <v>0</v>
      </c>
      <c r="I481" s="342">
        <f t="shared" si="31"/>
        <v>0</v>
      </c>
    </row>
    <row r="482" spans="1:9" ht="15.6" x14ac:dyDescent="0.3">
      <c r="A482" s="353">
        <f>'PLANTILLA INV. PISO (0)'!A478</f>
        <v>184003</v>
      </c>
      <c r="B482" s="353" t="str">
        <f>'PLANTILLA INV. PISO (0)'!B478</f>
        <v>CANASTA PLASTICA BRISA KOF</v>
      </c>
      <c r="C482" s="354">
        <f>'MODIFICAR CODIGOS '!E478</f>
        <v>1</v>
      </c>
      <c r="D482" s="352">
        <f>'PLANTILLA INV. PISO (0)'!U478</f>
        <v>15</v>
      </c>
      <c r="F482" s="339">
        <f t="shared" si="28"/>
        <v>15</v>
      </c>
      <c r="G482" s="340">
        <f t="shared" si="29"/>
        <v>0</v>
      </c>
      <c r="H482" s="341">
        <f t="shared" si="30"/>
        <v>0</v>
      </c>
      <c r="I482" s="342">
        <f t="shared" si="31"/>
        <v>15</v>
      </c>
    </row>
    <row r="483" spans="1:9" ht="15.6" x14ac:dyDescent="0.3">
      <c r="A483" s="350" t="str">
        <f>'PLANTILLA INV. PISO (0)'!A479</f>
        <v>*</v>
      </c>
      <c r="B483" s="350">
        <f>'PLANTILLA INV. PISO (0)'!B479</f>
        <v>0</v>
      </c>
      <c r="C483" s="351">
        <f>'MODIFICAR CODIGOS '!E479</f>
        <v>0</v>
      </c>
      <c r="D483" s="352">
        <f>'PLANTILLA INV. PISO (0)'!U479</f>
        <v>0</v>
      </c>
      <c r="F483" s="339">
        <f t="shared" si="28"/>
        <v>0</v>
      </c>
      <c r="G483" s="340">
        <f t="shared" si="29"/>
        <v>0</v>
      </c>
      <c r="H483" s="341" t="e">
        <f t="shared" si="30"/>
        <v>#DIV/0!</v>
      </c>
      <c r="I483" s="342" t="e">
        <f t="shared" si="31"/>
        <v>#DIV/0!</v>
      </c>
    </row>
    <row r="484" spans="1:9" ht="15.6" x14ac:dyDescent="0.3">
      <c r="A484" s="350">
        <f>'PLANTILLA INV. PISO (0)'!A480</f>
        <v>0</v>
      </c>
      <c r="B484" s="350">
        <f>'PLANTILLA INV. PISO (0)'!B480</f>
        <v>0</v>
      </c>
      <c r="C484" s="351">
        <f>'MODIFICAR CODIGOS '!E480</f>
        <v>1</v>
      </c>
      <c r="D484" s="352">
        <f>'PLANTILLA INV. PISO (0)'!U480</f>
        <v>0</v>
      </c>
      <c r="F484" s="339">
        <f t="shared" si="28"/>
        <v>0</v>
      </c>
      <c r="G484" s="340">
        <f t="shared" si="29"/>
        <v>0</v>
      </c>
      <c r="H484" s="341">
        <f t="shared" si="30"/>
        <v>0</v>
      </c>
      <c r="I484" s="342">
        <f t="shared" si="31"/>
        <v>0</v>
      </c>
    </row>
    <row r="485" spans="1:9" ht="15.6" x14ac:dyDescent="0.3">
      <c r="A485" s="353">
        <f>'PLANTILLA INV. PISO (0)'!A481</f>
        <v>197794</v>
      </c>
      <c r="B485" s="353" t="str">
        <f>'PLANTILLA INV. PISO (0)'!B481</f>
        <v>RACK O ESTIBA METALICA</v>
      </c>
      <c r="C485" s="354">
        <f>'MODIFICAR CODIGOS '!E481</f>
        <v>1</v>
      </c>
      <c r="D485" s="352">
        <f>'PLANTILLA INV. PISO (0)'!U481</f>
        <v>45</v>
      </c>
      <c r="F485" s="339">
        <f t="shared" si="28"/>
        <v>45</v>
      </c>
      <c r="G485" s="340">
        <f t="shared" si="29"/>
        <v>0</v>
      </c>
      <c r="H485" s="341">
        <f t="shared" si="30"/>
        <v>0</v>
      </c>
      <c r="I485" s="342">
        <f t="shared" si="31"/>
        <v>45</v>
      </c>
    </row>
    <row r="486" spans="1:9" ht="15.6" x14ac:dyDescent="0.3">
      <c r="A486" s="350">
        <f>'PLANTILLA INV. PISO (0)'!A482</f>
        <v>0</v>
      </c>
      <c r="B486" s="350">
        <f>'PLANTILLA INV. PISO (0)'!B482</f>
        <v>0</v>
      </c>
      <c r="C486" s="351">
        <f>'MODIFICAR CODIGOS '!E482</f>
        <v>1</v>
      </c>
      <c r="D486" s="352">
        <f>'PLANTILLA INV. PISO (0)'!U482</f>
        <v>0</v>
      </c>
      <c r="F486" s="339">
        <f t="shared" si="28"/>
        <v>0</v>
      </c>
      <c r="G486" s="340">
        <f t="shared" si="29"/>
        <v>0</v>
      </c>
      <c r="H486" s="341">
        <f t="shared" si="30"/>
        <v>0</v>
      </c>
      <c r="I486" s="342">
        <f t="shared" si="31"/>
        <v>0</v>
      </c>
    </row>
    <row r="487" spans="1:9" ht="15.6" x14ac:dyDescent="0.3">
      <c r="A487" s="353">
        <f>'PLANTILLA INV. PISO (0)'!A483</f>
        <v>197792</v>
      </c>
      <c r="B487" s="353" t="str">
        <f>'PLANTILLA INV. PISO (0)'!B483</f>
        <v>RACK CILINDROS DE CO2 x 4 NVO</v>
      </c>
      <c r="C487" s="354">
        <f>'MODIFICAR CODIGOS '!E483</f>
        <v>1</v>
      </c>
      <c r="D487" s="352">
        <f>'PLANTILLA INV. PISO (0)'!U483</f>
        <v>0</v>
      </c>
      <c r="F487" s="339">
        <f t="shared" si="28"/>
        <v>0</v>
      </c>
      <c r="G487" s="340">
        <f t="shared" si="29"/>
        <v>0</v>
      </c>
      <c r="H487" s="341">
        <f t="shared" si="30"/>
        <v>0</v>
      </c>
      <c r="I487" s="342">
        <f t="shared" si="31"/>
        <v>0</v>
      </c>
    </row>
    <row r="488" spans="1:9" ht="15.6" x14ac:dyDescent="0.3">
      <c r="A488" s="350" t="str">
        <f>'PLANTILLA INV. PISO (0)'!A484</f>
        <v>*</v>
      </c>
      <c r="B488" s="350">
        <f>'PLANTILLA INV. PISO (0)'!B484</f>
        <v>0</v>
      </c>
      <c r="C488" s="351">
        <f>'MODIFICAR CODIGOS '!E484</f>
        <v>0</v>
      </c>
      <c r="D488" s="352">
        <f>'PLANTILLA INV. PISO (0)'!U484</f>
        <v>0</v>
      </c>
      <c r="F488" s="339">
        <f t="shared" si="28"/>
        <v>0</v>
      </c>
      <c r="G488" s="340">
        <f t="shared" si="29"/>
        <v>0</v>
      </c>
      <c r="H488" s="341" t="e">
        <f>G488/C488</f>
        <v>#DIV/0!</v>
      </c>
      <c r="I488" s="342" t="e">
        <f t="shared" si="31"/>
        <v>#DIV/0!</v>
      </c>
    </row>
    <row r="489" spans="1:9" ht="15.6" x14ac:dyDescent="0.3">
      <c r="A489" s="353">
        <f>'PLANTILLA INV. PISO (0)'!A485</f>
        <v>197826</v>
      </c>
      <c r="B489" s="353" t="str">
        <f>'PLANTILLA INV. PISO (0)'!B485</f>
        <v xml:space="preserve">ESTIBA DE MADERA </v>
      </c>
      <c r="C489" s="354">
        <f>'MODIFICAR CODIGOS '!E485</f>
        <v>1</v>
      </c>
      <c r="D489" s="352">
        <f>'PLANTILLA INV. PISO (0)'!U485</f>
        <v>97</v>
      </c>
      <c r="F489" s="339">
        <f t="shared" si="28"/>
        <v>97</v>
      </c>
      <c r="G489" s="340">
        <f t="shared" si="29"/>
        <v>0</v>
      </c>
      <c r="H489" s="341">
        <f t="shared" si="30"/>
        <v>0</v>
      </c>
      <c r="I489" s="342">
        <f t="shared" si="31"/>
        <v>97</v>
      </c>
    </row>
    <row r="490" spans="1:9" ht="15.6" x14ac:dyDescent="0.3">
      <c r="A490" s="353">
        <f>'PLANTILLA INV. PISO (0)'!A486</f>
        <v>197823</v>
      </c>
      <c r="B490" s="353" t="str">
        <f>'PLANTILLA INV. PISO (0)'!B486</f>
        <v>ESTIBA DE MADERA ISO VERDE</v>
      </c>
      <c r="C490" s="354">
        <f>'MODIFICAR CODIGOS '!E486</f>
        <v>1</v>
      </c>
      <c r="D490" s="352">
        <f>'PLANTILLA INV. PISO (0)'!U486</f>
        <v>41</v>
      </c>
      <c r="F490" s="339">
        <f t="shared" si="28"/>
        <v>41</v>
      </c>
      <c r="G490" s="340">
        <f t="shared" si="29"/>
        <v>0</v>
      </c>
      <c r="H490" s="341">
        <f t="shared" si="30"/>
        <v>0</v>
      </c>
      <c r="I490" s="342">
        <f t="shared" si="31"/>
        <v>41</v>
      </c>
    </row>
    <row r="491" spans="1:9" ht="15.6" x14ac:dyDescent="0.3">
      <c r="A491" s="353">
        <f>'PLANTILLA INV. PISO (0)'!A487</f>
        <v>197815</v>
      </c>
      <c r="B491" s="353" t="str">
        <f>'PLANTILLA INV. PISO (0)'!B487</f>
        <v xml:space="preserve">ESTIBA NEGRA ISO PLASTICA </v>
      </c>
      <c r="C491" s="354">
        <f>'MODIFICAR CODIGOS '!E487</f>
        <v>1</v>
      </c>
      <c r="D491" s="352">
        <f>'PLANTILLA INV. PISO (0)'!U487</f>
        <v>448</v>
      </c>
      <c r="F491" s="339">
        <f t="shared" si="28"/>
        <v>448</v>
      </c>
      <c r="G491" s="340">
        <f t="shared" si="29"/>
        <v>0</v>
      </c>
      <c r="H491" s="341">
        <f t="shared" si="30"/>
        <v>0</v>
      </c>
      <c r="I491" s="342">
        <f t="shared" si="31"/>
        <v>448</v>
      </c>
    </row>
    <row r="492" spans="1:9" ht="15.6" x14ac:dyDescent="0.3">
      <c r="A492" s="353">
        <f>'PLANTILLA INV. PISO (0)'!A488</f>
        <v>197812</v>
      </c>
      <c r="B492" s="353" t="str">
        <f>'PLANTILLA INV. PISO (0)'!B488</f>
        <v>ESTIBA MADERA AZUL</v>
      </c>
      <c r="C492" s="354">
        <f>'MODIFICAR CODIGOS '!E488</f>
        <v>1</v>
      </c>
      <c r="D492" s="352">
        <f>'PLANTILLA INV. PISO (0)'!U488</f>
        <v>74</v>
      </c>
      <c r="F492" s="339">
        <f t="shared" si="28"/>
        <v>74</v>
      </c>
      <c r="G492" s="340">
        <f t="shared" si="29"/>
        <v>0</v>
      </c>
      <c r="H492" s="341">
        <f t="shared" si="30"/>
        <v>0</v>
      </c>
      <c r="I492" s="342">
        <f t="shared" si="31"/>
        <v>74</v>
      </c>
    </row>
    <row r="493" spans="1:9" ht="15.6" x14ac:dyDescent="0.3">
      <c r="A493" s="350">
        <f>'PLANTILLA INV. PISO (0)'!A489</f>
        <v>0</v>
      </c>
      <c r="B493" s="350">
        <f>'PLANTILLA INV. PISO (0)'!B489</f>
        <v>0</v>
      </c>
      <c r="C493" s="351">
        <f>'MODIFICAR CODIGOS '!E489</f>
        <v>0</v>
      </c>
      <c r="D493" s="352">
        <f>'PLANTILLA INV. PISO (0)'!U489</f>
        <v>0</v>
      </c>
      <c r="F493" s="339">
        <f t="shared" si="28"/>
        <v>0</v>
      </c>
      <c r="G493" s="340">
        <f t="shared" si="29"/>
        <v>0</v>
      </c>
      <c r="H493" s="341" t="e">
        <f t="shared" si="30"/>
        <v>#DIV/0!</v>
      </c>
      <c r="I493" s="342" t="e">
        <f t="shared" si="31"/>
        <v>#DIV/0!</v>
      </c>
    </row>
    <row r="494" spans="1:9" ht="15.6" x14ac:dyDescent="0.3">
      <c r="A494" s="350">
        <f>'PLANTILLA INV. PISO (0)'!A490</f>
        <v>0</v>
      </c>
      <c r="B494" s="350">
        <f>'PLANTILLA INV. PISO (0)'!B490</f>
        <v>0</v>
      </c>
      <c r="C494" s="351">
        <f>'MODIFICAR CODIGOS '!E490</f>
        <v>0</v>
      </c>
      <c r="D494" s="352">
        <f>'PLANTILLA INV. PISO (0)'!U490</f>
        <v>0</v>
      </c>
      <c r="F494" s="339">
        <f t="shared" si="28"/>
        <v>0</v>
      </c>
      <c r="G494" s="340">
        <f t="shared" si="29"/>
        <v>0</v>
      </c>
      <c r="H494" s="341" t="e">
        <f t="shared" si="30"/>
        <v>#DIV/0!</v>
      </c>
      <c r="I494" s="342" t="e">
        <f t="shared" si="31"/>
        <v>#DIV/0!</v>
      </c>
    </row>
    <row r="495" spans="1:9" ht="15.6" x14ac:dyDescent="0.3">
      <c r="A495" s="350">
        <f>'PLANTILLA INV. PISO (0)'!A491</f>
        <v>0</v>
      </c>
      <c r="B495" s="350">
        <f>'PLANTILLA INV. PISO (0)'!B491</f>
        <v>0</v>
      </c>
      <c r="C495" s="351">
        <f>'MODIFICAR CODIGOS '!E491</f>
        <v>0</v>
      </c>
      <c r="D495" s="352">
        <f>'PLANTILLA INV. PISO (0)'!U491</f>
        <v>0</v>
      </c>
      <c r="F495" s="339">
        <f t="shared" si="28"/>
        <v>0</v>
      </c>
      <c r="G495" s="340">
        <f t="shared" si="29"/>
        <v>0</v>
      </c>
      <c r="H495" s="341" t="e">
        <f t="shared" si="30"/>
        <v>#DIV/0!</v>
      </c>
      <c r="I495" s="342" t="e">
        <f t="shared" si="31"/>
        <v>#DIV/0!</v>
      </c>
    </row>
    <row r="496" spans="1:9" x14ac:dyDescent="0.3">
      <c r="A496" s="140"/>
      <c r="B496" s="140"/>
      <c r="D496"/>
    </row>
    <row r="497" spans="1:5" x14ac:dyDescent="0.3">
      <c r="A497" s="140"/>
      <c r="B497" s="140"/>
      <c r="D497"/>
    </row>
    <row r="498" spans="1:5" x14ac:dyDescent="0.3">
      <c r="A498" s="140"/>
      <c r="B498" s="140"/>
      <c r="D498"/>
    </row>
    <row r="499" spans="1:5" x14ac:dyDescent="0.3">
      <c r="A499" s="140"/>
      <c r="B499" s="140"/>
      <c r="D499"/>
    </row>
    <row r="500" spans="1:5" x14ac:dyDescent="0.3">
      <c r="A500" s="140"/>
      <c r="B500" s="140"/>
      <c r="D500"/>
    </row>
    <row r="501" spans="1:5" x14ac:dyDescent="0.3">
      <c r="A501" s="140"/>
      <c r="B501" s="140"/>
      <c r="D501"/>
    </row>
    <row r="502" spans="1:5" x14ac:dyDescent="0.3">
      <c r="A502" s="140"/>
      <c r="B502" s="140"/>
      <c r="D502"/>
      <c r="E502" s="140"/>
    </row>
    <row r="503" spans="1:5" x14ac:dyDescent="0.3">
      <c r="A503" s="140"/>
      <c r="B503" s="140"/>
      <c r="D503"/>
      <c r="E503" s="140"/>
    </row>
    <row r="504" spans="1:5" x14ac:dyDescent="0.3">
      <c r="A504" s="140"/>
      <c r="B504" s="140"/>
      <c r="D504"/>
      <c r="E504" s="140"/>
    </row>
    <row r="505" spans="1:5" x14ac:dyDescent="0.3">
      <c r="D505" s="137"/>
    </row>
    <row r="506" spans="1:5" x14ac:dyDescent="0.3">
      <c r="D506" s="137"/>
    </row>
    <row r="507" spans="1:5" x14ac:dyDescent="0.3">
      <c r="D507" s="137"/>
    </row>
    <row r="508" spans="1:5" x14ac:dyDescent="0.3">
      <c r="D508" s="137"/>
    </row>
    <row r="509" spans="1:5" x14ac:dyDescent="0.3">
      <c r="D509" s="137"/>
    </row>
    <row r="510" spans="1:5" x14ac:dyDescent="0.3">
      <c r="D510" s="137"/>
    </row>
    <row r="511" spans="1:5" x14ac:dyDescent="0.3">
      <c r="D511" s="137"/>
    </row>
    <row r="512" spans="1:5" x14ac:dyDescent="0.3">
      <c r="D512" s="137"/>
    </row>
    <row r="513" spans="4:4" x14ac:dyDescent="0.3">
      <c r="D513" s="137"/>
    </row>
    <row r="514" spans="4:4" x14ac:dyDescent="0.3">
      <c r="D514" s="137"/>
    </row>
    <row r="515" spans="4:4" x14ac:dyDescent="0.3">
      <c r="D515" s="137"/>
    </row>
    <row r="516" spans="4:4" x14ac:dyDescent="0.3">
      <c r="D516" s="137"/>
    </row>
    <row r="517" spans="4:4" x14ac:dyDescent="0.3">
      <c r="D517" s="137"/>
    </row>
    <row r="518" spans="4:4" x14ac:dyDescent="0.3">
      <c r="D518" s="137"/>
    </row>
    <row r="519" spans="4:4" x14ac:dyDescent="0.3">
      <c r="D519" s="137"/>
    </row>
    <row r="520" spans="4:4" x14ac:dyDescent="0.3">
      <c r="D520" s="137"/>
    </row>
    <row r="521" spans="4:4" x14ac:dyDescent="0.3">
      <c r="D521" s="137"/>
    </row>
    <row r="522" spans="4:4" x14ac:dyDescent="0.3">
      <c r="D522" s="137"/>
    </row>
    <row r="523" spans="4:4" x14ac:dyDescent="0.3">
      <c r="D523" s="137"/>
    </row>
    <row r="524" spans="4:4" x14ac:dyDescent="0.3">
      <c r="D524" s="137"/>
    </row>
    <row r="525" spans="4:4" x14ac:dyDescent="0.3">
      <c r="D525" s="137"/>
    </row>
    <row r="526" spans="4:4" x14ac:dyDescent="0.3">
      <c r="D526" s="137"/>
    </row>
    <row r="527" spans="4:4" x14ac:dyDescent="0.3">
      <c r="D527" s="137"/>
    </row>
    <row r="528" spans="4:4" x14ac:dyDescent="0.3">
      <c r="D528" s="137"/>
    </row>
    <row r="529" spans="4:4" x14ac:dyDescent="0.3">
      <c r="D529" s="137"/>
    </row>
    <row r="530" spans="4:4" x14ac:dyDescent="0.3">
      <c r="D530" s="137"/>
    </row>
    <row r="531" spans="4:4" x14ac:dyDescent="0.3">
      <c r="D531" s="137"/>
    </row>
    <row r="532" spans="4:4" x14ac:dyDescent="0.3">
      <c r="D532" s="137"/>
    </row>
    <row r="533" spans="4:4" x14ac:dyDescent="0.3">
      <c r="D533" s="137"/>
    </row>
    <row r="534" spans="4:4" x14ac:dyDescent="0.3">
      <c r="D534" s="137"/>
    </row>
    <row r="535" spans="4:4" x14ac:dyDescent="0.3">
      <c r="D535" s="137"/>
    </row>
    <row r="536" spans="4:4" x14ac:dyDescent="0.3">
      <c r="D536" s="137"/>
    </row>
    <row r="537" spans="4:4" x14ac:dyDescent="0.3">
      <c r="D537" s="137"/>
    </row>
    <row r="538" spans="4:4" x14ac:dyDescent="0.3">
      <c r="D538" s="137"/>
    </row>
    <row r="539" spans="4:4" x14ac:dyDescent="0.3">
      <c r="D539" s="137"/>
    </row>
    <row r="540" spans="4:4" x14ac:dyDescent="0.3">
      <c r="D540" s="137"/>
    </row>
    <row r="541" spans="4:4" x14ac:dyDescent="0.3">
      <c r="D541" s="137"/>
    </row>
    <row r="542" spans="4:4" x14ac:dyDescent="0.3">
      <c r="D542" s="137"/>
    </row>
    <row r="543" spans="4:4" x14ac:dyDescent="0.3">
      <c r="D543" s="137"/>
    </row>
    <row r="544" spans="4:4" x14ac:dyDescent="0.3">
      <c r="D544" s="137"/>
    </row>
    <row r="545" spans="4:4" x14ac:dyDescent="0.3">
      <c r="D545" s="137"/>
    </row>
    <row r="546" spans="4:4" x14ac:dyDescent="0.3">
      <c r="D546" s="137"/>
    </row>
    <row r="547" spans="4:4" x14ac:dyDescent="0.3">
      <c r="D547" s="137"/>
    </row>
    <row r="548" spans="4:4" x14ac:dyDescent="0.3">
      <c r="D548" s="137"/>
    </row>
    <row r="549" spans="4:4" x14ac:dyDescent="0.3">
      <c r="D549" s="137"/>
    </row>
    <row r="550" spans="4:4" x14ac:dyDescent="0.3">
      <c r="D550" s="137"/>
    </row>
    <row r="551" spans="4:4" x14ac:dyDescent="0.3">
      <c r="D551" s="137"/>
    </row>
    <row r="552" spans="4:4" x14ac:dyDescent="0.3">
      <c r="D552" s="137"/>
    </row>
    <row r="553" spans="4:4" x14ac:dyDescent="0.3">
      <c r="D553" s="137"/>
    </row>
    <row r="554" spans="4:4" x14ac:dyDescent="0.3">
      <c r="D554" s="137"/>
    </row>
    <row r="555" spans="4:4" x14ac:dyDescent="0.3">
      <c r="D555" s="137"/>
    </row>
    <row r="556" spans="4:4" x14ac:dyDescent="0.3">
      <c r="D556" s="137"/>
    </row>
    <row r="557" spans="4:4" x14ac:dyDescent="0.3">
      <c r="D557" s="137"/>
    </row>
    <row r="558" spans="4:4" x14ac:dyDescent="0.3">
      <c r="D558" s="137"/>
    </row>
    <row r="559" spans="4:4" x14ac:dyDescent="0.3">
      <c r="D559" s="137"/>
    </row>
    <row r="560" spans="4:4" x14ac:dyDescent="0.3">
      <c r="D560" s="137"/>
    </row>
    <row r="561" spans="4:4" x14ac:dyDescent="0.3">
      <c r="D561" s="137"/>
    </row>
    <row r="562" spans="4:4" x14ac:dyDescent="0.3">
      <c r="D562" s="137"/>
    </row>
    <row r="563" spans="4:4" x14ac:dyDescent="0.3">
      <c r="D563" s="137"/>
    </row>
    <row r="564" spans="4:4" x14ac:dyDescent="0.3">
      <c r="D564" s="137"/>
    </row>
    <row r="565" spans="4:4" x14ac:dyDescent="0.3">
      <c r="D565" s="137"/>
    </row>
    <row r="566" spans="4:4" x14ac:dyDescent="0.3">
      <c r="D566" s="137"/>
    </row>
    <row r="567" spans="4:4" x14ac:dyDescent="0.3">
      <c r="D567" s="137"/>
    </row>
    <row r="568" spans="4:4" x14ac:dyDescent="0.3">
      <c r="D568" s="137"/>
    </row>
    <row r="569" spans="4:4" x14ac:dyDescent="0.3">
      <c r="D569" s="137"/>
    </row>
    <row r="570" spans="4:4" x14ac:dyDescent="0.3">
      <c r="D570" s="137"/>
    </row>
    <row r="571" spans="4:4" x14ac:dyDescent="0.3">
      <c r="D571" s="137"/>
    </row>
    <row r="572" spans="4:4" x14ac:dyDescent="0.3">
      <c r="D572" s="137"/>
    </row>
    <row r="573" spans="4:4" x14ac:dyDescent="0.3">
      <c r="D573" s="137"/>
    </row>
    <row r="574" spans="4:4" x14ac:dyDescent="0.3">
      <c r="D574" s="137"/>
    </row>
    <row r="575" spans="4:4" x14ac:dyDescent="0.3">
      <c r="D575" s="137"/>
    </row>
    <row r="576" spans="4:4" x14ac:dyDescent="0.3">
      <c r="D576" s="137"/>
    </row>
    <row r="577" spans="4:4" x14ac:dyDescent="0.3">
      <c r="D577" s="137"/>
    </row>
    <row r="578" spans="4:4" x14ac:dyDescent="0.3">
      <c r="D578" s="137"/>
    </row>
    <row r="579" spans="4:4" x14ac:dyDescent="0.3">
      <c r="D579" s="137"/>
    </row>
    <row r="580" spans="4:4" x14ac:dyDescent="0.3">
      <c r="D580" s="137"/>
    </row>
    <row r="581" spans="4:4" x14ac:dyDescent="0.3">
      <c r="D581" s="137"/>
    </row>
  </sheetData>
  <autoFilter ref="A4:D495" xr:uid="{00000000-0009-0000-0000-000002000000}"/>
  <mergeCells count="1">
    <mergeCell ref="A2:B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487"/>
  <sheetViews>
    <sheetView topLeftCell="A187" workbookViewId="0">
      <selection activeCell="B206" sqref="B206"/>
    </sheetView>
  </sheetViews>
  <sheetFormatPr baseColWidth="10" defaultColWidth="11.44140625" defaultRowHeight="14.4" x14ac:dyDescent="0.3"/>
  <cols>
    <col min="1" max="2" width="13.77734375" customWidth="1"/>
    <col min="3" max="3" width="17.77734375" customWidth="1"/>
    <col min="6" max="6" width="13.88671875" bestFit="1" customWidth="1"/>
  </cols>
  <sheetData>
    <row r="1" spans="1:6" ht="15" thickBot="1" x14ac:dyDescent="0.35"/>
    <row r="2" spans="1:6" ht="15" thickBot="1" x14ac:dyDescent="0.35">
      <c r="A2" s="192"/>
      <c r="B2" s="414" t="s">
        <v>414</v>
      </c>
      <c r="C2" s="415"/>
      <c r="D2" s="192"/>
      <c r="E2" s="416" t="s">
        <v>415</v>
      </c>
      <c r="F2" s="417"/>
    </row>
    <row r="3" spans="1:6" ht="15" thickBot="1" x14ac:dyDescent="0.35">
      <c r="B3" s="418"/>
      <c r="C3" s="419"/>
    </row>
    <row r="4" spans="1:6" ht="15" thickBot="1" x14ac:dyDescent="0.35">
      <c r="B4" s="202" t="s">
        <v>416</v>
      </c>
      <c r="C4" s="203" t="s">
        <v>417</v>
      </c>
      <c r="E4" s="193" t="s">
        <v>416</v>
      </c>
      <c r="F4" s="194" t="s">
        <v>417</v>
      </c>
    </row>
    <row r="5" spans="1:6" ht="16.2" thickBot="1" x14ac:dyDescent="0.35">
      <c r="B5" s="195">
        <v>160052</v>
      </c>
      <c r="C5" s="196">
        <f>IFERROR(VLOOKUP(B5,'INVENTARIO PISO '!A$6:K$470,9,FALSE),"0")</f>
        <v>99.166666666666657</v>
      </c>
      <c r="E5" s="198">
        <v>184016</v>
      </c>
      <c r="F5" s="199">
        <f>IFERROR(VLOOKUP(E5,'INVENTARIO PISO '!$A$433:D470,4,FALSE),"0")</f>
        <v>0</v>
      </c>
    </row>
    <row r="6" spans="1:6" ht="16.2" thickBot="1" x14ac:dyDescent="0.35">
      <c r="A6" s="337"/>
      <c r="B6" s="197">
        <v>56702</v>
      </c>
      <c r="C6" s="196">
        <f>IFERROR(VLOOKUP(B6,'INVENTARIO PISO '!A$6:K$470,9,FALSE),"0")</f>
        <v>58.7</v>
      </c>
      <c r="E6" s="200">
        <v>184025</v>
      </c>
      <c r="F6" s="199">
        <f>IFERROR(VLOOKUP(E6,'INVENTARIO PISO '!$A$433:D471,4,FALSE),"0")</f>
        <v>142</v>
      </c>
    </row>
    <row r="7" spans="1:6" ht="16.2" thickBot="1" x14ac:dyDescent="0.35">
      <c r="B7" s="197">
        <v>160069</v>
      </c>
      <c r="C7" s="196">
        <f>IFERROR(VLOOKUP(B7,'INVENTARIO PISO '!A$6:K$470,9,FALSE),"0")</f>
        <v>97.266666666666666</v>
      </c>
      <c r="E7" s="200">
        <v>184026</v>
      </c>
      <c r="F7" s="199">
        <f>IFERROR(VLOOKUP(E7,'INVENTARIO PISO '!$A$433:D472,4,FALSE),"0")</f>
        <v>90</v>
      </c>
    </row>
    <row r="8" spans="1:6" ht="16.2" thickBot="1" x14ac:dyDescent="0.35">
      <c r="B8" s="197">
        <v>160176</v>
      </c>
      <c r="C8" s="196" t="str">
        <f>IFERROR(VLOOKUP(B8,'INVENTARIO PISO '!A$6:K$470,9,FALSE),"0")</f>
        <v>0</v>
      </c>
      <c r="E8" s="200">
        <v>184040</v>
      </c>
      <c r="F8" s="199" t="str">
        <f>IFERROR(VLOOKUP(E8,'INVENTARIO PISO '!$A$433:D473,4,FALSE),"0")</f>
        <v>0</v>
      </c>
    </row>
    <row r="9" spans="1:6" ht="16.2" thickBot="1" x14ac:dyDescent="0.35">
      <c r="B9" s="197">
        <v>56623</v>
      </c>
      <c r="C9" s="196">
        <f>IFERROR(VLOOKUP(B9,'INVENTARIO PISO '!A$6:K$470,9,FALSE),"0")</f>
        <v>0</v>
      </c>
      <c r="E9" s="200">
        <v>184041</v>
      </c>
      <c r="F9" s="199">
        <f>IFERROR(VLOOKUP(E9,'INVENTARIO PISO '!$A$433:D474,4,FALSE),"0")</f>
        <v>1</v>
      </c>
    </row>
    <row r="10" spans="1:6" ht="16.2" thickBot="1" x14ac:dyDescent="0.35">
      <c r="B10" s="197">
        <v>160009</v>
      </c>
      <c r="C10" s="196" t="str">
        <f>IFERROR(VLOOKUP(B10,'INVENTARIO PISO '!A$6:K$470,9,FALSE),"0")</f>
        <v>0</v>
      </c>
      <c r="E10" s="200">
        <v>184021</v>
      </c>
      <c r="F10" s="199" t="str">
        <f>IFERROR(VLOOKUP(E10,'INVENTARIO PISO '!$A$433:D475,4,FALSE),"0")</f>
        <v>0</v>
      </c>
    </row>
    <row r="11" spans="1:6" ht="16.2" thickBot="1" x14ac:dyDescent="0.35">
      <c r="B11" s="197">
        <v>119945</v>
      </c>
      <c r="C11" s="196" t="str">
        <f>IFERROR(VLOOKUP(B11,'INVENTARIO PISO '!A$6:K$470,9,FALSE),"0")</f>
        <v>0</v>
      </c>
      <c r="E11" s="200">
        <v>183131</v>
      </c>
      <c r="F11" s="199">
        <f>IFERROR(VLOOKUP(E11,'INVENTARIO PISO '!$A$433:D476,4,FALSE),"0")</f>
        <v>0</v>
      </c>
    </row>
    <row r="12" spans="1:6" ht="16.2" thickBot="1" x14ac:dyDescent="0.35">
      <c r="B12" s="197">
        <v>160033</v>
      </c>
      <c r="C12" s="196">
        <f>IFERROR(VLOOKUP(B12,'INVENTARIO PISO '!A$6:K$470,9,FALSE),"0")</f>
        <v>3.2999999999999994</v>
      </c>
      <c r="E12" s="200">
        <v>184035</v>
      </c>
      <c r="F12" s="199">
        <f>IFERROR(VLOOKUP(E12,'INVENTARIO PISO '!$A$433:D477,4,FALSE),"0")</f>
        <v>47</v>
      </c>
    </row>
    <row r="13" spans="1:6" ht="16.2" thickBot="1" x14ac:dyDescent="0.35">
      <c r="B13" s="197">
        <v>160053</v>
      </c>
      <c r="C13" s="196">
        <f>IFERROR(VLOOKUP(B13,'INVENTARIO PISO '!A$6:K$470,9,FALSE),"0")</f>
        <v>42.333333333333336</v>
      </c>
      <c r="E13" s="200">
        <v>184017</v>
      </c>
      <c r="F13" s="199">
        <f>IFERROR(VLOOKUP(E13,'INVENTARIO PISO '!$A$433:D478,4,FALSE),"0")</f>
        <v>558</v>
      </c>
    </row>
    <row r="14" spans="1:6" ht="16.2" thickBot="1" x14ac:dyDescent="0.35">
      <c r="B14" s="197">
        <v>56622</v>
      </c>
      <c r="C14" s="196">
        <f>IFERROR(VLOOKUP(B14,'INVENTARIO PISO '!A$6:K$470,9,FALSE),"0")</f>
        <v>35.666666666666679</v>
      </c>
      <c r="E14" s="200">
        <v>184022</v>
      </c>
      <c r="F14" s="199">
        <f>IFERROR(VLOOKUP(E14,'INVENTARIO PISO '!$A$433:D479,4,FALSE),"0")</f>
        <v>51</v>
      </c>
    </row>
    <row r="15" spans="1:6" ht="16.2" thickBot="1" x14ac:dyDescent="0.35">
      <c r="A15" s="337"/>
      <c r="B15" s="197">
        <v>56705</v>
      </c>
      <c r="C15" s="196">
        <f>IFERROR(VLOOKUP(B15,'INVENTARIO PISO '!A$6:K$470,9,FALSE),"0")</f>
        <v>32.833333333333336</v>
      </c>
      <c r="E15" s="200">
        <v>184019</v>
      </c>
      <c r="F15" s="199">
        <f>IFERROR(VLOOKUP(E15,'INVENTARIO PISO '!$A$433:D480,4,FALSE),"0")</f>
        <v>190</v>
      </c>
    </row>
    <row r="16" spans="1:6" ht="16.2" thickBot="1" x14ac:dyDescent="0.35">
      <c r="B16" s="197">
        <v>160070</v>
      </c>
      <c r="C16" s="196">
        <f>IFERROR(VLOOKUP(B16,'INVENTARIO PISO '!A$6:K$470,9,FALSE),"0")</f>
        <v>43.833333333333336</v>
      </c>
      <c r="E16" s="200">
        <v>184020</v>
      </c>
      <c r="F16" s="199">
        <f>IFERROR(VLOOKUP(E16,'INVENTARIO PISO '!$A$433:D481,4,FALSE),"0")</f>
        <v>106</v>
      </c>
    </row>
    <row r="17" spans="1:6" ht="16.2" thickBot="1" x14ac:dyDescent="0.35">
      <c r="B17" s="197">
        <v>160624</v>
      </c>
      <c r="C17" s="196" t="str">
        <f>IFERROR(VLOOKUP(B17,'INVENTARIO PISO '!A$6:K$470,9,FALSE),"0")</f>
        <v>0</v>
      </c>
      <c r="E17" s="200">
        <v>183131</v>
      </c>
      <c r="F17" s="199">
        <f>IFERROR(VLOOKUP(E17,'INVENTARIO PISO '!$A$433:D482,4,FALSE),"0")</f>
        <v>0</v>
      </c>
    </row>
    <row r="18" spans="1:6" ht="16.2" thickBot="1" x14ac:dyDescent="0.35">
      <c r="B18" s="197">
        <v>160625</v>
      </c>
      <c r="C18" s="196" t="str">
        <f>IFERROR(VLOOKUP(B18,'INVENTARIO PISO '!A$6:K$470,9,FALSE),"0")</f>
        <v>0</v>
      </c>
      <c r="E18" s="200">
        <v>184038</v>
      </c>
      <c r="F18" s="199">
        <f>IFERROR(VLOOKUP(E18,'INVENTARIO PISO '!$A$433:D483,4,FALSE),"0")</f>
        <v>103</v>
      </c>
    </row>
    <row r="19" spans="1:6" ht="16.2" thickBot="1" x14ac:dyDescent="0.35">
      <c r="B19" s="197">
        <v>160626</v>
      </c>
      <c r="C19" s="196" t="str">
        <f>IFERROR(VLOOKUP(B19,'INVENTARIO PISO '!A$6:K$470,9,FALSE),"0")</f>
        <v>0</v>
      </c>
      <c r="E19" s="200">
        <v>184028</v>
      </c>
      <c r="F19" s="199" t="str">
        <f>IFERROR(VLOOKUP(E19,'INVENTARIO PISO '!$A$433:D484,4,FALSE),"0")</f>
        <v>0</v>
      </c>
    </row>
    <row r="20" spans="1:6" ht="16.2" thickBot="1" x14ac:dyDescent="0.35">
      <c r="B20" s="197">
        <v>135763</v>
      </c>
      <c r="C20" s="196">
        <f>IFERROR(VLOOKUP(B20,'INVENTARIO PISO '!A$6:K$470,9,FALSE),"0")</f>
        <v>18.799999999999994</v>
      </c>
      <c r="E20" s="200">
        <v>184037</v>
      </c>
      <c r="F20" s="199" t="str">
        <f>IFERROR(VLOOKUP(E20,'INVENTARIO PISO '!$A$433:D485,4,FALSE),"0")</f>
        <v>0</v>
      </c>
    </row>
    <row r="21" spans="1:6" ht="16.2" thickBot="1" x14ac:dyDescent="0.35">
      <c r="B21" s="197">
        <v>160654</v>
      </c>
      <c r="C21" s="196" t="str">
        <f>IFERROR(VLOOKUP(B21,'INVENTARIO PISO '!A$6:K$470,9,FALSE),"0")</f>
        <v>0</v>
      </c>
      <c r="E21" s="200">
        <v>184032</v>
      </c>
      <c r="F21" s="199" t="str">
        <f>IFERROR(VLOOKUP(E21,'INVENTARIO PISO '!$A$433:D486,4,FALSE),"0")</f>
        <v>0</v>
      </c>
    </row>
    <row r="22" spans="1:6" ht="16.2" thickBot="1" x14ac:dyDescent="0.35">
      <c r="B22" s="197">
        <v>160022</v>
      </c>
      <c r="C22" s="196" t="str">
        <f>IFERROR(VLOOKUP(B22,'INVENTARIO PISO '!A$6:K$470,9,FALSE),"0")</f>
        <v>0</v>
      </c>
      <c r="E22" s="200">
        <v>184029</v>
      </c>
      <c r="F22" s="199" t="str">
        <f>IFERROR(VLOOKUP(E22,'INVENTARIO PISO '!$A$433:D487,4,FALSE),"0")</f>
        <v>0</v>
      </c>
    </row>
    <row r="23" spans="1:6" ht="16.2" thickBot="1" x14ac:dyDescent="0.35">
      <c r="B23" s="197">
        <v>160024</v>
      </c>
      <c r="C23" s="196" t="str">
        <f>IFERROR(VLOOKUP(B23,'INVENTARIO PISO '!A$6:K$470,9,FALSE),"0")</f>
        <v>0</v>
      </c>
      <c r="E23" s="200">
        <v>184030</v>
      </c>
      <c r="F23" s="199">
        <f>IFERROR(VLOOKUP(E23,'INVENTARIO PISO '!$A$433:D488,4,FALSE),"0")</f>
        <v>44</v>
      </c>
    </row>
    <row r="24" spans="1:6" ht="16.2" thickBot="1" x14ac:dyDescent="0.35">
      <c r="B24" s="197">
        <v>160051</v>
      </c>
      <c r="C24" s="196" t="str">
        <f>IFERROR(VLOOKUP(B24,'INVENTARIO PISO '!A$6:K$470,9,FALSE),"0")</f>
        <v>0</v>
      </c>
      <c r="E24" s="200">
        <v>184018</v>
      </c>
      <c r="F24" s="199" t="str">
        <f>IFERROR(VLOOKUP(E24,'INVENTARIO PISO '!$A$433:D489,4,FALSE),"0")</f>
        <v>0</v>
      </c>
    </row>
    <row r="25" spans="1:6" ht="16.2" thickBot="1" x14ac:dyDescent="0.35">
      <c r="B25" s="197">
        <v>135666</v>
      </c>
      <c r="C25" s="196">
        <f>IFERROR(VLOOKUP(B25,'INVENTARIO PISO '!A$6:K$470,9,FALSE),"0")</f>
        <v>48</v>
      </c>
      <c r="E25" s="200">
        <v>184002</v>
      </c>
      <c r="F25" s="199">
        <f>IFERROR(VLOOKUP(E25,'INVENTARIO PISO '!$A$433:D490,4,FALSE),"0")</f>
        <v>98</v>
      </c>
    </row>
    <row r="26" spans="1:6" ht="16.2" thickBot="1" x14ac:dyDescent="0.35">
      <c r="B26" s="197">
        <v>135665</v>
      </c>
      <c r="C26" s="196" t="str">
        <f>IFERROR(VLOOKUP(B26,'INVENTARIO PISO '!A$6:K$470,9,FALSE),"0")</f>
        <v>0</v>
      </c>
      <c r="E26" s="200">
        <v>184013</v>
      </c>
      <c r="F26" s="199">
        <f>IFERROR(VLOOKUP(E26,'INVENTARIO PISO '!$A$433:D491,4,FALSE),"0")</f>
        <v>6</v>
      </c>
    </row>
    <row r="27" spans="1:6" ht="16.2" thickBot="1" x14ac:dyDescent="0.35">
      <c r="B27" s="197">
        <v>160048</v>
      </c>
      <c r="C27" s="196">
        <f>IFERROR(VLOOKUP(B27,'INVENTARIO PISO '!A$6:K$470,9,FALSE),"0")</f>
        <v>256</v>
      </c>
      <c r="E27" s="200">
        <v>184008</v>
      </c>
      <c r="F27" s="199">
        <f>IFERROR(VLOOKUP(E27,'INVENTARIO PISO '!$A$433:D492,4,FALSE),"0")</f>
        <v>30</v>
      </c>
    </row>
    <row r="28" spans="1:6" ht="16.2" thickBot="1" x14ac:dyDescent="0.35">
      <c r="A28" s="337"/>
      <c r="B28" s="197">
        <v>601961</v>
      </c>
      <c r="C28" s="196" t="str">
        <f>IFERROR(VLOOKUP(B28,'INVENTARIO PISO '!A$6:K$470,9,FALSE),"0")</f>
        <v>0</v>
      </c>
      <c r="E28" s="200">
        <v>184009</v>
      </c>
      <c r="F28" s="199">
        <f>IFERROR(VLOOKUP(E28,'INVENTARIO PISO '!$A$433:D493,4,FALSE),"0")</f>
        <v>30</v>
      </c>
    </row>
    <row r="29" spans="1:6" ht="16.2" thickBot="1" x14ac:dyDescent="0.35">
      <c r="B29" s="197">
        <v>160410</v>
      </c>
      <c r="C29" s="196" t="str">
        <f>IFERROR(VLOOKUP(B29,'INVENTARIO PISO '!A$6:K$470,9,FALSE),"0")</f>
        <v>0</v>
      </c>
      <c r="E29" s="200">
        <v>184010</v>
      </c>
      <c r="F29" s="199" t="str">
        <f>IFERROR(VLOOKUP(E29,'INVENTARIO PISO '!$A$433:D494,4,FALSE),"0")</f>
        <v>0</v>
      </c>
    </row>
    <row r="30" spans="1:6" ht="16.2" thickBot="1" x14ac:dyDescent="0.35">
      <c r="B30" s="197">
        <v>160254</v>
      </c>
      <c r="C30" s="196" t="str">
        <f>IFERROR(VLOOKUP(B30,'INVENTARIO PISO '!A$6:K$470,9,FALSE),"0")</f>
        <v>0</v>
      </c>
      <c r="E30" s="200">
        <v>184003</v>
      </c>
      <c r="F30" s="199">
        <f>IFERROR(VLOOKUP(E30,'INVENTARIO PISO '!$A$433:D495,4,FALSE),"0")</f>
        <v>15</v>
      </c>
    </row>
    <row r="31" spans="1:6" ht="16.2" thickBot="1" x14ac:dyDescent="0.35">
      <c r="B31" s="197">
        <v>160255</v>
      </c>
      <c r="C31" s="196" t="str">
        <f>IFERROR(VLOOKUP(B31,'INVENTARIO PISO '!A$6:K$470,9,FALSE),"0")</f>
        <v>0</v>
      </c>
      <c r="E31" s="200">
        <v>197826</v>
      </c>
      <c r="F31" s="199">
        <f>IFERROR(VLOOKUP(E31,'INVENTARIO PISO '!$A$433:D496,4,FALSE),"0")</f>
        <v>97</v>
      </c>
    </row>
    <row r="32" spans="1:6" ht="16.2" thickBot="1" x14ac:dyDescent="0.35">
      <c r="E32" s="200">
        <v>197815</v>
      </c>
      <c r="F32" s="199">
        <f>IFERROR(VLOOKUP(E32,'INVENTARIO PISO '!$A$433:D497,4,FALSE),"0")</f>
        <v>448</v>
      </c>
    </row>
    <row r="33" spans="2:6" ht="16.2" thickBot="1" x14ac:dyDescent="0.35">
      <c r="E33" s="200">
        <v>197812</v>
      </c>
      <c r="F33" s="199">
        <f>IFERROR(VLOOKUP(E33,'INVENTARIO PISO '!$A$433:D498,4,FALSE),"0")</f>
        <v>74</v>
      </c>
    </row>
    <row r="34" spans="2:6" ht="16.2" thickBot="1" x14ac:dyDescent="0.35">
      <c r="B34" s="346"/>
      <c r="E34" s="200">
        <v>197823</v>
      </c>
      <c r="F34" s="199">
        <f>IFERROR(VLOOKUP(E34,'INVENTARIO PISO '!$A$433:D499,4,FALSE),"0")</f>
        <v>41</v>
      </c>
    </row>
    <row r="35" spans="2:6" ht="16.2" thickBot="1" x14ac:dyDescent="0.35">
      <c r="B35" s="346"/>
      <c r="E35" s="200">
        <v>197794</v>
      </c>
      <c r="F35" s="199">
        <f>IFERROR(VLOOKUP(E35,'INVENTARIO PISO '!$A$433:D500,4,FALSE),"0")</f>
        <v>45</v>
      </c>
    </row>
    <row r="36" spans="2:6" ht="15.6" x14ac:dyDescent="0.3">
      <c r="B36" s="346"/>
      <c r="E36" s="200">
        <v>197792</v>
      </c>
      <c r="F36" s="199">
        <f>IFERROR(VLOOKUP(E36,'INVENTARIO PISO '!$A$433:D501,4,FALSE),"0")</f>
        <v>0</v>
      </c>
    </row>
    <row r="37" spans="2:6" x14ac:dyDescent="0.3">
      <c r="B37" s="346"/>
      <c r="C37" s="347"/>
    </row>
    <row r="38" spans="2:6" x14ac:dyDescent="0.3">
      <c r="B38" s="338">
        <f>'INVENTARIO PISO '!A6</f>
        <v>160052</v>
      </c>
      <c r="C38" s="201">
        <f>'INVENTARIO PISO '!I6</f>
        <v>99.166666666666657</v>
      </c>
    </row>
    <row r="39" spans="2:6" x14ac:dyDescent="0.3">
      <c r="B39" s="338">
        <f>'INVENTARIO PISO '!A7</f>
        <v>0</v>
      </c>
      <c r="C39" s="201">
        <f>'INVENTARIO PISO '!I7</f>
        <v>0</v>
      </c>
    </row>
    <row r="40" spans="2:6" x14ac:dyDescent="0.3">
      <c r="B40" s="338">
        <f>'INVENTARIO PISO '!A8</f>
        <v>56702</v>
      </c>
      <c r="C40" s="201">
        <f>'INVENTARIO PISO '!I8</f>
        <v>58.7</v>
      </c>
    </row>
    <row r="41" spans="2:6" x14ac:dyDescent="0.3">
      <c r="B41" s="338">
        <f>'INVENTARIO PISO '!A9</f>
        <v>0</v>
      </c>
      <c r="C41" s="201">
        <f>'INVENTARIO PISO '!I9</f>
        <v>0</v>
      </c>
    </row>
    <row r="42" spans="2:6" x14ac:dyDescent="0.3">
      <c r="B42" s="338">
        <f>'INVENTARIO PISO '!A10</f>
        <v>160069</v>
      </c>
      <c r="C42" s="201">
        <f>'INVENTARIO PISO '!I10</f>
        <v>97.266666666666666</v>
      </c>
    </row>
    <row r="43" spans="2:6" x14ac:dyDescent="0.3">
      <c r="B43" s="338">
        <f>'INVENTARIO PISO '!A11</f>
        <v>0</v>
      </c>
      <c r="C43" s="201">
        <f>'INVENTARIO PISO '!I11</f>
        <v>0</v>
      </c>
    </row>
    <row r="44" spans="2:6" x14ac:dyDescent="0.3">
      <c r="B44" s="338">
        <f>'INVENTARIO PISO '!A12</f>
        <v>0</v>
      </c>
      <c r="C44" s="201">
        <f>'INVENTARIO PISO '!I12</f>
        <v>0</v>
      </c>
    </row>
    <row r="45" spans="2:6" x14ac:dyDescent="0.3">
      <c r="B45" s="338">
        <f>'INVENTARIO PISO '!A13</f>
        <v>0</v>
      </c>
      <c r="C45" s="201">
        <f>'INVENTARIO PISO '!I13</f>
        <v>0</v>
      </c>
    </row>
    <row r="46" spans="2:6" x14ac:dyDescent="0.3">
      <c r="B46" s="338">
        <f>'INVENTARIO PISO '!A14</f>
        <v>56623</v>
      </c>
      <c r="C46" s="201">
        <f>'INVENTARIO PISO '!I14</f>
        <v>0</v>
      </c>
    </row>
    <row r="47" spans="2:6" hidden="1" x14ac:dyDescent="0.3">
      <c r="B47" s="338" t="str">
        <f>'INVENTARIO PISO '!A15</f>
        <v>*</v>
      </c>
      <c r="C47" s="201" t="e">
        <f>'INVENTARIO PISO '!I15</f>
        <v>#DIV/0!</v>
      </c>
    </row>
    <row r="48" spans="2:6" x14ac:dyDescent="0.3">
      <c r="B48" s="338">
        <f>'INVENTARIO PISO '!A16</f>
        <v>160053</v>
      </c>
      <c r="C48" s="201">
        <f>'INVENTARIO PISO '!I16</f>
        <v>42.333333333333336</v>
      </c>
    </row>
    <row r="49" spans="2:3" x14ac:dyDescent="0.3">
      <c r="B49" s="338">
        <f>'INVENTARIO PISO '!A17</f>
        <v>135763</v>
      </c>
      <c r="C49" s="201">
        <f>'INVENTARIO PISO '!I17</f>
        <v>18.799999999999994</v>
      </c>
    </row>
    <row r="50" spans="2:3" x14ac:dyDescent="0.3">
      <c r="B50" s="338">
        <f>'INVENTARIO PISO '!A18</f>
        <v>56622</v>
      </c>
      <c r="C50" s="201">
        <f>'INVENTARIO PISO '!I18</f>
        <v>35.666666666666679</v>
      </c>
    </row>
    <row r="51" spans="2:3" x14ac:dyDescent="0.3">
      <c r="B51" s="338">
        <f>'INVENTARIO PISO '!A19</f>
        <v>56705</v>
      </c>
      <c r="C51" s="201">
        <f>'INVENTARIO PISO '!I19</f>
        <v>32.833333333333336</v>
      </c>
    </row>
    <row r="52" spans="2:3" x14ac:dyDescent="0.3">
      <c r="B52" s="338">
        <f>'INVENTARIO PISO '!A20</f>
        <v>160070</v>
      </c>
      <c r="C52" s="201">
        <f>'INVENTARIO PISO '!I20</f>
        <v>43.833333333333336</v>
      </c>
    </row>
    <row r="53" spans="2:3" x14ac:dyDescent="0.3">
      <c r="B53" s="338">
        <f>'INVENTARIO PISO '!A21</f>
        <v>160033</v>
      </c>
      <c r="C53" s="201">
        <f>'INVENTARIO PISO '!I21</f>
        <v>3.2999999999999994</v>
      </c>
    </row>
    <row r="54" spans="2:3" x14ac:dyDescent="0.3">
      <c r="B54" s="338">
        <f>'INVENTARIO PISO '!A22</f>
        <v>0</v>
      </c>
      <c r="C54" s="201">
        <f>'INVENTARIO PISO '!I22</f>
        <v>0</v>
      </c>
    </row>
    <row r="55" spans="2:3" x14ac:dyDescent="0.3">
      <c r="B55" s="338">
        <f>'INVENTARIO PISO '!A23</f>
        <v>0</v>
      </c>
      <c r="C55" s="201">
        <f>'INVENTARIO PISO '!I23</f>
        <v>0</v>
      </c>
    </row>
    <row r="56" spans="2:3" x14ac:dyDescent="0.3">
      <c r="B56" s="338">
        <f>'INVENTARIO PISO '!A24</f>
        <v>0</v>
      </c>
      <c r="C56" s="201">
        <f>'INVENTARIO PISO '!I24</f>
        <v>0</v>
      </c>
    </row>
    <row r="57" spans="2:3" x14ac:dyDescent="0.3">
      <c r="B57" s="338">
        <f>'INVENTARIO PISO '!A25</f>
        <v>0</v>
      </c>
      <c r="C57" s="201">
        <f>'INVENTARIO PISO '!I25</f>
        <v>0</v>
      </c>
    </row>
    <row r="58" spans="2:3" x14ac:dyDescent="0.3">
      <c r="B58" s="338">
        <f>'INVENTARIO PISO '!A26</f>
        <v>0</v>
      </c>
      <c r="C58" s="201">
        <f>'INVENTARIO PISO '!I26</f>
        <v>0</v>
      </c>
    </row>
    <row r="59" spans="2:3" x14ac:dyDescent="0.3">
      <c r="B59" s="338">
        <f>'INVENTARIO PISO '!A27</f>
        <v>0</v>
      </c>
      <c r="C59" s="201">
        <f>'INVENTARIO PISO '!I27</f>
        <v>0</v>
      </c>
    </row>
    <row r="60" spans="2:3" x14ac:dyDescent="0.3">
      <c r="B60" s="338">
        <f>'INVENTARIO PISO '!A28</f>
        <v>135666</v>
      </c>
      <c r="C60" s="201">
        <f>'INVENTARIO PISO '!I28</f>
        <v>48</v>
      </c>
    </row>
    <row r="61" spans="2:3" x14ac:dyDescent="0.3">
      <c r="B61" s="338">
        <f>'INVENTARIO PISO '!A29</f>
        <v>0</v>
      </c>
      <c r="C61" s="201">
        <f>'INVENTARIO PISO '!I29</f>
        <v>0</v>
      </c>
    </row>
    <row r="62" spans="2:3" hidden="1" x14ac:dyDescent="0.3">
      <c r="B62" s="338" t="str">
        <f>'INVENTARIO PISO '!A30</f>
        <v>*</v>
      </c>
      <c r="C62" s="201" t="e">
        <f>'INVENTARIO PISO '!I30</f>
        <v>#DIV/0!</v>
      </c>
    </row>
    <row r="63" spans="2:3" x14ac:dyDescent="0.3">
      <c r="B63" s="338">
        <f>'INVENTARIO PISO '!A31</f>
        <v>136159</v>
      </c>
      <c r="C63" s="201">
        <f>'INVENTARIO PISO '!I31</f>
        <v>137</v>
      </c>
    </row>
    <row r="64" spans="2:3" x14ac:dyDescent="0.3">
      <c r="B64" s="338">
        <f>'INVENTARIO PISO '!A32</f>
        <v>136113</v>
      </c>
      <c r="C64" s="201">
        <f>'INVENTARIO PISO '!I32</f>
        <v>433</v>
      </c>
    </row>
    <row r="65" spans="2:3" x14ac:dyDescent="0.3">
      <c r="B65" s="338">
        <f>'INVENTARIO PISO '!A33</f>
        <v>135664</v>
      </c>
      <c r="C65" s="201">
        <f>'INVENTARIO PISO '!I33</f>
        <v>19.833333333333346</v>
      </c>
    </row>
    <row r="66" spans="2:3" x14ac:dyDescent="0.3">
      <c r="B66" s="338">
        <f>'INVENTARIO PISO '!A34</f>
        <v>135757</v>
      </c>
      <c r="C66" s="201">
        <f>'INVENTARIO PISO '!I34</f>
        <v>8.8333333333333304</v>
      </c>
    </row>
    <row r="67" spans="2:3" x14ac:dyDescent="0.3">
      <c r="B67" s="338">
        <f>'INVENTARIO PISO '!A35</f>
        <v>56651</v>
      </c>
      <c r="C67" s="201">
        <f>'INVENTARIO PISO '!I35</f>
        <v>130</v>
      </c>
    </row>
    <row r="68" spans="2:3" x14ac:dyDescent="0.3">
      <c r="B68" s="338">
        <f>'INVENTARIO PISO '!A36</f>
        <v>56709</v>
      </c>
      <c r="C68" s="201">
        <f>'INVENTARIO PISO '!I36</f>
        <v>367.33333333333348</v>
      </c>
    </row>
    <row r="69" spans="2:3" x14ac:dyDescent="0.3">
      <c r="B69" s="338">
        <f>'INVENTARIO PISO '!A37</f>
        <v>160102</v>
      </c>
      <c r="C69" s="201">
        <f>'INVENTARIO PISO '!I37</f>
        <v>58.250000000000007</v>
      </c>
    </row>
    <row r="70" spans="2:3" x14ac:dyDescent="0.3">
      <c r="B70" s="338">
        <f>'INVENTARIO PISO '!A38</f>
        <v>160100</v>
      </c>
      <c r="C70" s="201">
        <f>'INVENTARIO PISO '!I38</f>
        <v>6.0833333333333313</v>
      </c>
    </row>
    <row r="71" spans="2:3" x14ac:dyDescent="0.3">
      <c r="B71" s="338">
        <f>'INVENTARIO PISO '!A39</f>
        <v>160101</v>
      </c>
      <c r="C71" s="201">
        <f>'INVENTARIO PISO '!I39</f>
        <v>35.166666666666693</v>
      </c>
    </row>
    <row r="72" spans="2:3" x14ac:dyDescent="0.3">
      <c r="B72" s="338">
        <f>'INVENTARIO PISO '!A40</f>
        <v>160099</v>
      </c>
      <c r="C72" s="201">
        <f>'INVENTARIO PISO '!I40</f>
        <v>3.166666666666667</v>
      </c>
    </row>
    <row r="73" spans="2:3" hidden="1" x14ac:dyDescent="0.3">
      <c r="B73" s="338" t="str">
        <f>'INVENTARIO PISO '!A41</f>
        <v>*</v>
      </c>
      <c r="C73" s="201" t="e">
        <f>'INVENTARIO PISO '!I41</f>
        <v>#DIV/0!</v>
      </c>
    </row>
    <row r="74" spans="2:3" x14ac:dyDescent="0.3">
      <c r="B74" s="338">
        <f>'INVENTARIO PISO '!A42</f>
        <v>0</v>
      </c>
      <c r="C74" s="201">
        <f>'INVENTARIO PISO '!I42</f>
        <v>0</v>
      </c>
    </row>
    <row r="75" spans="2:3" x14ac:dyDescent="0.3">
      <c r="B75" s="338">
        <f>'INVENTARIO PISO '!A43</f>
        <v>136133</v>
      </c>
      <c r="C75" s="201">
        <f>'INVENTARIO PISO '!I43</f>
        <v>127.12500000000006</v>
      </c>
    </row>
    <row r="76" spans="2:3" x14ac:dyDescent="0.3">
      <c r="B76" s="338">
        <f>'INVENTARIO PISO '!A44</f>
        <v>0</v>
      </c>
      <c r="C76" s="201">
        <f>'INVENTARIO PISO '!I44</f>
        <v>0</v>
      </c>
    </row>
    <row r="77" spans="2:3" x14ac:dyDescent="0.3">
      <c r="B77" s="338">
        <f>'INVENTARIO PISO '!A45</f>
        <v>0</v>
      </c>
      <c r="C77" s="201">
        <f>'INVENTARIO PISO '!I45</f>
        <v>0</v>
      </c>
    </row>
    <row r="78" spans="2:3" x14ac:dyDescent="0.3">
      <c r="B78" s="338">
        <f>'INVENTARIO PISO '!A46</f>
        <v>0</v>
      </c>
      <c r="C78" s="201">
        <f>'INVENTARIO PISO '!I46</f>
        <v>0</v>
      </c>
    </row>
    <row r="79" spans="2:3" x14ac:dyDescent="0.3">
      <c r="B79" s="338">
        <f>'INVENTARIO PISO '!A47</f>
        <v>0</v>
      </c>
      <c r="C79" s="201">
        <f>'INVENTARIO PISO '!I47</f>
        <v>0</v>
      </c>
    </row>
    <row r="80" spans="2:3" x14ac:dyDescent="0.3">
      <c r="B80" s="338">
        <f>'INVENTARIO PISO '!A48</f>
        <v>0</v>
      </c>
      <c r="C80" s="201">
        <f>'INVENTARIO PISO '!I48</f>
        <v>0</v>
      </c>
    </row>
    <row r="81" spans="2:3" x14ac:dyDescent="0.3">
      <c r="B81" s="338">
        <f>'INVENTARIO PISO '!A49</f>
        <v>0</v>
      </c>
      <c r="C81" s="201">
        <f>'INVENTARIO PISO '!I49</f>
        <v>0</v>
      </c>
    </row>
    <row r="82" spans="2:3" x14ac:dyDescent="0.3">
      <c r="B82" s="338">
        <f>'INVENTARIO PISO '!A50</f>
        <v>0</v>
      </c>
      <c r="C82" s="201">
        <f>'INVENTARIO PISO '!I50</f>
        <v>0</v>
      </c>
    </row>
    <row r="83" spans="2:3" x14ac:dyDescent="0.3">
      <c r="B83" s="338">
        <f>'INVENTARIO PISO '!A51</f>
        <v>0</v>
      </c>
      <c r="C83" s="201">
        <f>'INVENTARIO PISO '!I51</f>
        <v>0</v>
      </c>
    </row>
    <row r="84" spans="2:3" x14ac:dyDescent="0.3">
      <c r="B84" s="338">
        <f>'INVENTARIO PISO '!A52</f>
        <v>0</v>
      </c>
      <c r="C84" s="201">
        <f>'INVENTARIO PISO '!I52</f>
        <v>0</v>
      </c>
    </row>
    <row r="85" spans="2:3" x14ac:dyDescent="0.3">
      <c r="B85" s="338">
        <f>'INVENTARIO PISO '!A53</f>
        <v>0</v>
      </c>
      <c r="C85" s="201">
        <f>'INVENTARIO PISO '!I53</f>
        <v>0</v>
      </c>
    </row>
    <row r="86" spans="2:3" x14ac:dyDescent="0.3">
      <c r="B86" s="338">
        <f>'INVENTARIO PISO '!A54</f>
        <v>0</v>
      </c>
      <c r="C86" s="201">
        <f>'INVENTARIO PISO '!I54</f>
        <v>0</v>
      </c>
    </row>
    <row r="87" spans="2:3" x14ac:dyDescent="0.3">
      <c r="B87" s="338">
        <f>'INVENTARIO PISO '!A55</f>
        <v>0</v>
      </c>
      <c r="C87" s="201">
        <f>'INVENTARIO PISO '!I55</f>
        <v>0</v>
      </c>
    </row>
    <row r="88" spans="2:3" hidden="1" x14ac:dyDescent="0.3">
      <c r="B88" s="338" t="str">
        <f>'INVENTARIO PISO '!A56</f>
        <v>*</v>
      </c>
      <c r="C88" s="201" t="e">
        <f>'INVENTARIO PISO '!I56</f>
        <v>#DIV/0!</v>
      </c>
    </row>
    <row r="89" spans="2:3" x14ac:dyDescent="0.3">
      <c r="B89" s="338">
        <f>'INVENTARIO PISO '!A57</f>
        <v>0</v>
      </c>
      <c r="C89" s="201">
        <f>'INVENTARIO PISO '!I57</f>
        <v>0</v>
      </c>
    </row>
    <row r="90" spans="2:3" x14ac:dyDescent="0.3">
      <c r="B90" s="338">
        <f>'INVENTARIO PISO '!A58</f>
        <v>0</v>
      </c>
      <c r="C90" s="201">
        <f>'INVENTARIO PISO '!I58</f>
        <v>0</v>
      </c>
    </row>
    <row r="91" spans="2:3" x14ac:dyDescent="0.3">
      <c r="B91" s="338">
        <f>'INVENTARIO PISO '!A59</f>
        <v>0</v>
      </c>
      <c r="C91" s="201">
        <f>'INVENTARIO PISO '!I59</f>
        <v>0</v>
      </c>
    </row>
    <row r="92" spans="2:3" hidden="1" x14ac:dyDescent="0.3">
      <c r="B92" s="338" t="str">
        <f>'INVENTARIO PISO '!A60</f>
        <v>*</v>
      </c>
      <c r="C92" s="201" t="e">
        <f>'INVENTARIO PISO '!I60</f>
        <v>#DIV/0!</v>
      </c>
    </row>
    <row r="93" spans="2:3" x14ac:dyDescent="0.3">
      <c r="B93" s="338">
        <f>'INVENTARIO PISO '!A61</f>
        <v>0</v>
      </c>
      <c r="C93" s="201">
        <f>'INVENTARIO PISO '!I61</f>
        <v>0</v>
      </c>
    </row>
    <row r="94" spans="2:3" x14ac:dyDescent="0.3">
      <c r="B94" s="338">
        <f>'INVENTARIO PISO '!A62</f>
        <v>0</v>
      </c>
      <c r="C94" s="201">
        <f>'INVENTARIO PISO '!I62</f>
        <v>0</v>
      </c>
    </row>
    <row r="95" spans="2:3" x14ac:dyDescent="0.3">
      <c r="B95" s="338">
        <f>'INVENTARIO PISO '!A63</f>
        <v>0</v>
      </c>
      <c r="C95" s="201">
        <f>'INVENTARIO PISO '!I63</f>
        <v>0</v>
      </c>
    </row>
    <row r="96" spans="2:3" x14ac:dyDescent="0.3">
      <c r="B96" s="338">
        <f>'INVENTARIO PISO '!A64</f>
        <v>0</v>
      </c>
      <c r="C96" s="201">
        <f>'INVENTARIO PISO '!I64</f>
        <v>0</v>
      </c>
    </row>
    <row r="97" spans="2:3" hidden="1" x14ac:dyDescent="0.3">
      <c r="B97" s="338" t="str">
        <f>'INVENTARIO PISO '!A65</f>
        <v>CODIGO</v>
      </c>
      <c r="C97" s="201" t="e">
        <f>'INVENTARIO PISO '!I65</f>
        <v>#VALUE!</v>
      </c>
    </row>
    <row r="98" spans="2:3" x14ac:dyDescent="0.3">
      <c r="B98" s="338">
        <f>'INVENTARIO PISO '!A66</f>
        <v>0</v>
      </c>
      <c r="C98" s="201">
        <f>'INVENTARIO PISO '!I66</f>
        <v>0</v>
      </c>
    </row>
    <row r="99" spans="2:3" x14ac:dyDescent="0.3">
      <c r="B99" s="338">
        <f>'INVENTARIO PISO '!A67</f>
        <v>135662</v>
      </c>
      <c r="C99" s="201">
        <f>'INVENTARIO PISO '!I67</f>
        <v>967.33333333333303</v>
      </c>
    </row>
    <row r="100" spans="2:3" x14ac:dyDescent="0.3">
      <c r="B100" s="338">
        <f>'INVENTARIO PISO '!A68</f>
        <v>160124</v>
      </c>
      <c r="C100" s="201">
        <f>'INVENTARIO PISO '!I68</f>
        <v>0</v>
      </c>
    </row>
    <row r="101" spans="2:3" x14ac:dyDescent="0.3">
      <c r="B101" s="338">
        <f>'INVENTARIO PISO '!A69</f>
        <v>56711</v>
      </c>
      <c r="C101" s="201">
        <f>'INVENTARIO PISO '!I69</f>
        <v>51.500000000000021</v>
      </c>
    </row>
    <row r="102" spans="2:3" x14ac:dyDescent="0.3">
      <c r="B102" s="338">
        <f>'INVENTARIO PISO '!A70</f>
        <v>56625</v>
      </c>
      <c r="C102" s="201">
        <f>'INVENTARIO PISO '!I70</f>
        <v>3.3333333333333335</v>
      </c>
    </row>
    <row r="103" spans="2:3" hidden="1" x14ac:dyDescent="0.3">
      <c r="B103" s="338" t="str">
        <f>'INVENTARIO PISO '!A71</f>
        <v>*</v>
      </c>
      <c r="C103" s="201" t="e">
        <f>'INVENTARIO PISO '!I71</f>
        <v>#DIV/0!</v>
      </c>
    </row>
    <row r="104" spans="2:3" x14ac:dyDescent="0.3">
      <c r="B104" s="338">
        <f>'INVENTARIO PISO '!A72</f>
        <v>0</v>
      </c>
      <c r="C104" s="201">
        <f>'INVENTARIO PISO '!I72</f>
        <v>0</v>
      </c>
    </row>
    <row r="105" spans="2:3" x14ac:dyDescent="0.3">
      <c r="B105" s="338">
        <f>'INVENTARIO PISO '!A73</f>
        <v>135663</v>
      </c>
      <c r="C105" s="201">
        <f>'INVENTARIO PISO '!I73</f>
        <v>0</v>
      </c>
    </row>
    <row r="106" spans="2:3" x14ac:dyDescent="0.3">
      <c r="B106" s="338">
        <f>'INVENTARIO PISO '!A74</f>
        <v>135755</v>
      </c>
      <c r="C106" s="201">
        <f>'INVENTARIO PISO '!I74</f>
        <v>1.8750000000000009</v>
      </c>
    </row>
    <row r="107" spans="2:3" x14ac:dyDescent="0.3">
      <c r="B107" s="338">
        <f>'INVENTARIO PISO '!A75</f>
        <v>56820</v>
      </c>
      <c r="C107" s="201">
        <f>'INVENTARIO PISO '!I75</f>
        <v>37.375000000000014</v>
      </c>
    </row>
    <row r="108" spans="2:3" x14ac:dyDescent="0.3">
      <c r="B108" s="338">
        <f>'INVENTARIO PISO '!A76</f>
        <v>0</v>
      </c>
      <c r="C108" s="201">
        <f>'INVENTARIO PISO '!I76</f>
        <v>0</v>
      </c>
    </row>
    <row r="109" spans="2:3" x14ac:dyDescent="0.3">
      <c r="B109" s="338">
        <f>'INVENTARIO PISO '!A77</f>
        <v>0</v>
      </c>
      <c r="C109" s="201">
        <f>'INVENTARIO PISO '!I77</f>
        <v>0</v>
      </c>
    </row>
    <row r="110" spans="2:3" hidden="1" x14ac:dyDescent="0.3">
      <c r="B110" s="338" t="str">
        <f>'INVENTARIO PISO '!A78</f>
        <v>*</v>
      </c>
      <c r="C110" s="201" t="e">
        <f>'INVENTARIO PISO '!I78</f>
        <v>#DIV/0!</v>
      </c>
    </row>
    <row r="111" spans="2:3" x14ac:dyDescent="0.3">
      <c r="B111" s="338">
        <f>'INVENTARIO PISO '!A79</f>
        <v>160040</v>
      </c>
      <c r="C111" s="201">
        <f>'INVENTARIO PISO '!I79</f>
        <v>1</v>
      </c>
    </row>
    <row r="112" spans="2:3" x14ac:dyDescent="0.3">
      <c r="B112" s="338">
        <f>'INVENTARIO PISO '!A80</f>
        <v>135759</v>
      </c>
      <c r="C112" s="201">
        <f>'INVENTARIO PISO '!I80</f>
        <v>21</v>
      </c>
    </row>
    <row r="113" spans="2:3" x14ac:dyDescent="0.3">
      <c r="B113" s="338">
        <f>'INVENTARIO PISO '!A81</f>
        <v>0</v>
      </c>
      <c r="C113" s="201">
        <f>'INVENTARIO PISO '!I81</f>
        <v>0</v>
      </c>
    </row>
    <row r="114" spans="2:3" x14ac:dyDescent="0.3">
      <c r="B114" s="338">
        <f>'INVENTARIO PISO '!A82</f>
        <v>0</v>
      </c>
      <c r="C114" s="201">
        <f>'INVENTARIO PISO '!I82</f>
        <v>0</v>
      </c>
    </row>
    <row r="115" spans="2:3" hidden="1" x14ac:dyDescent="0.3">
      <c r="B115" s="338" t="str">
        <f>'INVENTARIO PISO '!A83</f>
        <v>*</v>
      </c>
      <c r="C115" s="201" t="e">
        <f>'INVENTARIO PISO '!I83</f>
        <v>#DIV/0!</v>
      </c>
    </row>
    <row r="116" spans="2:3" x14ac:dyDescent="0.3">
      <c r="B116" s="338">
        <f>'INVENTARIO PISO '!A84</f>
        <v>135760</v>
      </c>
      <c r="C116" s="201">
        <f>'INVENTARIO PISO '!I84</f>
        <v>302.83333333333354</v>
      </c>
    </row>
    <row r="117" spans="2:3" x14ac:dyDescent="0.3">
      <c r="B117" s="338">
        <f>'INVENTARIO PISO '!A85</f>
        <v>160318</v>
      </c>
      <c r="C117" s="201">
        <f>'INVENTARIO PISO '!I85</f>
        <v>3111.9166666666679</v>
      </c>
    </row>
    <row r="118" spans="2:3" hidden="1" x14ac:dyDescent="0.3">
      <c r="B118" s="338" t="str">
        <f>'INVENTARIO PISO '!A86</f>
        <v>*</v>
      </c>
      <c r="C118" s="201" t="e">
        <f>'INVENTARIO PISO '!I86</f>
        <v>#DIV/0!</v>
      </c>
    </row>
    <row r="119" spans="2:3" x14ac:dyDescent="0.3">
      <c r="B119" s="338">
        <f>'INVENTARIO PISO '!A87</f>
        <v>56452</v>
      </c>
      <c r="C119" s="201">
        <f>'INVENTARIO PISO '!I87</f>
        <v>43.583333333333336</v>
      </c>
    </row>
    <row r="120" spans="2:3" x14ac:dyDescent="0.3">
      <c r="B120" s="338">
        <f>'INVENTARIO PISO '!A88</f>
        <v>56453</v>
      </c>
      <c r="C120" s="201">
        <f>'INVENTARIO PISO '!I88</f>
        <v>0</v>
      </c>
    </row>
    <row r="121" spans="2:3" x14ac:dyDescent="0.3">
      <c r="B121" s="338">
        <f>'INVENTARIO PISO '!A89</f>
        <v>160479</v>
      </c>
      <c r="C121" s="201">
        <f>'INVENTARIO PISO '!I89</f>
        <v>8.6666666666666679</v>
      </c>
    </row>
    <row r="122" spans="2:3" x14ac:dyDescent="0.3">
      <c r="B122" s="338">
        <f>'INVENTARIO PISO '!A90</f>
        <v>0</v>
      </c>
      <c r="C122" s="201" t="e">
        <f>'INVENTARIO PISO '!I90</f>
        <v>#DIV/0!</v>
      </c>
    </row>
    <row r="123" spans="2:3" x14ac:dyDescent="0.3">
      <c r="B123" s="338">
        <f>'INVENTARIO PISO '!A91</f>
        <v>56627</v>
      </c>
      <c r="C123" s="201">
        <f>'INVENTARIO PISO '!I91</f>
        <v>123.50000000000001</v>
      </c>
    </row>
    <row r="124" spans="2:3" x14ac:dyDescent="0.3">
      <c r="B124" s="338">
        <f>'INVENTARIO PISO '!A92</f>
        <v>160297</v>
      </c>
      <c r="C124" s="201">
        <f>'INVENTARIO PISO '!I92</f>
        <v>187.91666666666677</v>
      </c>
    </row>
    <row r="125" spans="2:3" x14ac:dyDescent="0.3">
      <c r="B125" s="338">
        <f>'INVENTARIO PISO '!A93</f>
        <v>0</v>
      </c>
      <c r="C125" s="201" t="e">
        <f>'INVENTARIO PISO '!I93</f>
        <v>#DIV/0!</v>
      </c>
    </row>
    <row r="126" spans="2:3" x14ac:dyDescent="0.3">
      <c r="B126" s="338">
        <f>'INVENTARIO PISO '!A94</f>
        <v>56706</v>
      </c>
      <c r="C126" s="201">
        <f>'INVENTARIO PISO '!I94</f>
        <v>79.250000000000014</v>
      </c>
    </row>
    <row r="127" spans="2:3" x14ac:dyDescent="0.3">
      <c r="B127" s="338">
        <f>'INVENTARIO PISO '!A95</f>
        <v>0</v>
      </c>
      <c r="C127" s="201">
        <f>'INVENTARIO PISO '!I95</f>
        <v>0</v>
      </c>
    </row>
    <row r="128" spans="2:3" x14ac:dyDescent="0.3">
      <c r="B128" s="338">
        <f>'INVENTARIO PISO '!A96</f>
        <v>0</v>
      </c>
      <c r="C128" s="201">
        <f>'INVENTARIO PISO '!I96</f>
        <v>0</v>
      </c>
    </row>
    <row r="129" spans="2:3" x14ac:dyDescent="0.3">
      <c r="B129" s="338">
        <f>'INVENTARIO PISO '!A97</f>
        <v>0</v>
      </c>
      <c r="C129" s="201">
        <f>'INVENTARIO PISO '!I97</f>
        <v>0</v>
      </c>
    </row>
    <row r="130" spans="2:3" x14ac:dyDescent="0.3">
      <c r="B130" s="338">
        <f>'INVENTARIO PISO '!A98</f>
        <v>0</v>
      </c>
      <c r="C130" s="201">
        <f>'INVENTARIO PISO '!I98</f>
        <v>0</v>
      </c>
    </row>
    <row r="131" spans="2:3" x14ac:dyDescent="0.3">
      <c r="B131" s="338">
        <f>'INVENTARIO PISO '!A99</f>
        <v>0</v>
      </c>
      <c r="C131" s="201">
        <f>'INVENTARIO PISO '!I99</f>
        <v>0</v>
      </c>
    </row>
    <row r="132" spans="2:3" hidden="1" x14ac:dyDescent="0.3">
      <c r="B132" s="338" t="str">
        <f>'INVENTARIO PISO '!A100</f>
        <v>*</v>
      </c>
      <c r="C132" s="201" t="e">
        <f>'INVENTARIO PISO '!I100</f>
        <v>#DIV/0!</v>
      </c>
    </row>
    <row r="133" spans="2:3" x14ac:dyDescent="0.3">
      <c r="B133" s="338">
        <f>'INVENTARIO PISO '!A101</f>
        <v>0</v>
      </c>
      <c r="C133" s="201">
        <f>'INVENTARIO PISO '!I101</f>
        <v>0</v>
      </c>
    </row>
    <row r="134" spans="2:3" x14ac:dyDescent="0.3">
      <c r="B134" s="338">
        <f>'INVENTARIO PISO '!A102</f>
        <v>0</v>
      </c>
      <c r="C134" s="201">
        <f>'INVENTARIO PISO '!I102</f>
        <v>0</v>
      </c>
    </row>
    <row r="135" spans="2:3" x14ac:dyDescent="0.3">
      <c r="B135" s="338">
        <f>'INVENTARIO PISO '!A103</f>
        <v>0</v>
      </c>
      <c r="C135" s="201">
        <f>'INVENTARIO PISO '!I103</f>
        <v>0</v>
      </c>
    </row>
    <row r="136" spans="2:3" x14ac:dyDescent="0.3">
      <c r="B136" s="338">
        <f>'INVENTARIO PISO '!A104</f>
        <v>0</v>
      </c>
      <c r="C136" s="201">
        <f>'INVENTARIO PISO '!I104</f>
        <v>0</v>
      </c>
    </row>
    <row r="137" spans="2:3" x14ac:dyDescent="0.3">
      <c r="B137" s="338">
        <f>'INVENTARIO PISO '!A105</f>
        <v>0</v>
      </c>
      <c r="C137" s="201">
        <f>'INVENTARIO PISO '!I105</f>
        <v>0</v>
      </c>
    </row>
    <row r="138" spans="2:3" x14ac:dyDescent="0.3">
      <c r="B138" s="338">
        <f>'INVENTARIO PISO '!A106</f>
        <v>0</v>
      </c>
      <c r="C138" s="201">
        <f>'INVENTARIO PISO '!I106</f>
        <v>0</v>
      </c>
    </row>
    <row r="139" spans="2:3" x14ac:dyDescent="0.3">
      <c r="B139" s="338">
        <f>'INVENTARIO PISO '!A107</f>
        <v>0</v>
      </c>
      <c r="C139" s="201">
        <f>'INVENTARIO PISO '!I107</f>
        <v>0</v>
      </c>
    </row>
    <row r="140" spans="2:3" x14ac:dyDescent="0.3">
      <c r="B140" s="338">
        <f>'INVENTARIO PISO '!A108</f>
        <v>0</v>
      </c>
      <c r="C140" s="201">
        <f>'INVENTARIO PISO '!I108</f>
        <v>0</v>
      </c>
    </row>
    <row r="141" spans="2:3" x14ac:dyDescent="0.3">
      <c r="B141" s="338">
        <f>'INVENTARIO PISO '!A109</f>
        <v>0</v>
      </c>
      <c r="C141" s="201">
        <f>'INVENTARIO PISO '!I109</f>
        <v>0</v>
      </c>
    </row>
    <row r="142" spans="2:3" x14ac:dyDescent="0.3">
      <c r="B142" s="338">
        <f>'INVENTARIO PISO '!A110</f>
        <v>0</v>
      </c>
      <c r="C142" s="201">
        <f>'INVENTARIO PISO '!I110</f>
        <v>0</v>
      </c>
    </row>
    <row r="143" spans="2:3" x14ac:dyDescent="0.3">
      <c r="B143" s="338">
        <f>'INVENTARIO PISO '!A111</f>
        <v>0</v>
      </c>
      <c r="C143" s="201">
        <f>'INVENTARIO PISO '!I111</f>
        <v>0</v>
      </c>
    </row>
    <row r="144" spans="2:3" x14ac:dyDescent="0.3">
      <c r="B144" s="338">
        <f>'INVENTARIO PISO '!A112</f>
        <v>135761</v>
      </c>
      <c r="C144" s="201">
        <f>'INVENTARIO PISO '!I112</f>
        <v>7.7499999999999991</v>
      </c>
    </row>
    <row r="145" spans="2:3" x14ac:dyDescent="0.3">
      <c r="B145" s="338">
        <f>'INVENTARIO PISO '!A113</f>
        <v>160200</v>
      </c>
      <c r="C145" s="201">
        <f>'INVENTARIO PISO '!I113</f>
        <v>1072</v>
      </c>
    </row>
    <row r="146" spans="2:3" x14ac:dyDescent="0.3">
      <c r="B146" s="338">
        <f>'INVENTARIO PISO '!A114</f>
        <v>0</v>
      </c>
      <c r="C146" s="201">
        <f>'INVENTARIO PISO '!I114</f>
        <v>0</v>
      </c>
    </row>
    <row r="147" spans="2:3" x14ac:dyDescent="0.3">
      <c r="B147" s="338">
        <f>'INVENTARIO PISO '!A115</f>
        <v>0</v>
      </c>
      <c r="C147" s="201">
        <f>'INVENTARIO PISO '!I115</f>
        <v>0</v>
      </c>
    </row>
    <row r="148" spans="2:3" x14ac:dyDescent="0.3">
      <c r="B148" s="338">
        <f>'INVENTARIO PISO '!A116</f>
        <v>0</v>
      </c>
      <c r="C148" s="201">
        <f>'INVENTARIO PISO '!I116</f>
        <v>0</v>
      </c>
    </row>
    <row r="149" spans="2:3" hidden="1" x14ac:dyDescent="0.3">
      <c r="B149" s="338" t="str">
        <f>'INVENTARIO PISO '!A117</f>
        <v>*</v>
      </c>
      <c r="C149" s="201" t="e">
        <f>'INVENTARIO PISO '!I117</f>
        <v>#DIV/0!</v>
      </c>
    </row>
    <row r="150" spans="2:3" x14ac:dyDescent="0.3">
      <c r="B150" s="338">
        <f>'INVENTARIO PISO '!A118</f>
        <v>0</v>
      </c>
      <c r="C150" s="201">
        <f>'INVENTARIO PISO '!I118</f>
        <v>0</v>
      </c>
    </row>
    <row r="151" spans="2:3" x14ac:dyDescent="0.3">
      <c r="B151" s="338">
        <f>'INVENTARIO PISO '!A119</f>
        <v>0</v>
      </c>
      <c r="C151" s="201">
        <f>'INVENTARIO PISO '!I119</f>
        <v>0</v>
      </c>
    </row>
    <row r="152" spans="2:3" x14ac:dyDescent="0.3">
      <c r="B152" s="338">
        <f>'INVENTARIO PISO '!A120</f>
        <v>0</v>
      </c>
      <c r="C152" s="201">
        <f>'INVENTARIO PISO '!I120</f>
        <v>0</v>
      </c>
    </row>
    <row r="153" spans="2:3" x14ac:dyDescent="0.3">
      <c r="B153" s="338">
        <f>'INVENTARIO PISO '!A121</f>
        <v>0</v>
      </c>
      <c r="C153" s="201">
        <f>'INVENTARIO PISO '!I121</f>
        <v>0</v>
      </c>
    </row>
    <row r="154" spans="2:3" x14ac:dyDescent="0.3">
      <c r="B154" s="338">
        <f>'INVENTARIO PISO '!A122</f>
        <v>0</v>
      </c>
      <c r="C154" s="201">
        <f>'INVENTARIO PISO '!I122</f>
        <v>0</v>
      </c>
    </row>
    <row r="155" spans="2:3" hidden="1" x14ac:dyDescent="0.3">
      <c r="B155" s="338" t="str">
        <f>'INVENTARIO PISO '!A123</f>
        <v>*</v>
      </c>
      <c r="C155" s="201" t="e">
        <f>'INVENTARIO PISO '!I123</f>
        <v>#DIV/0!</v>
      </c>
    </row>
    <row r="156" spans="2:3" x14ac:dyDescent="0.3">
      <c r="B156" s="338">
        <f>'INVENTARIO PISO '!A124</f>
        <v>0</v>
      </c>
      <c r="C156" s="201">
        <f>'INVENTARIO PISO '!I124</f>
        <v>0</v>
      </c>
    </row>
    <row r="157" spans="2:3" x14ac:dyDescent="0.3">
      <c r="B157" s="338">
        <f>'INVENTARIO PISO '!A125</f>
        <v>0</v>
      </c>
      <c r="C157" s="201">
        <f>'INVENTARIO PISO '!I125</f>
        <v>0</v>
      </c>
    </row>
    <row r="158" spans="2:3" x14ac:dyDescent="0.3">
      <c r="B158" s="338">
        <f>'INVENTARIO PISO '!A126</f>
        <v>0</v>
      </c>
      <c r="C158" s="201">
        <f>'INVENTARIO PISO '!I126</f>
        <v>0</v>
      </c>
    </row>
    <row r="159" spans="2:3" x14ac:dyDescent="0.3">
      <c r="B159" s="338">
        <f>'INVENTARIO PISO '!A127</f>
        <v>0</v>
      </c>
      <c r="C159" s="201">
        <f>'INVENTARIO PISO '!I127</f>
        <v>0</v>
      </c>
    </row>
    <row r="160" spans="2:3" x14ac:dyDescent="0.3">
      <c r="B160" s="338">
        <f>'INVENTARIO PISO '!A128</f>
        <v>0</v>
      </c>
      <c r="C160" s="201">
        <f>'INVENTARIO PISO '!I128</f>
        <v>0</v>
      </c>
    </row>
    <row r="161" spans="2:3" x14ac:dyDescent="0.3">
      <c r="B161" s="338">
        <f>'INVENTARIO PISO '!A129</f>
        <v>0</v>
      </c>
      <c r="C161" s="201">
        <f>'INVENTARIO PISO '!I129</f>
        <v>0</v>
      </c>
    </row>
    <row r="162" spans="2:3" hidden="1" x14ac:dyDescent="0.3">
      <c r="B162" s="338" t="str">
        <f>'INVENTARIO PISO '!A130</f>
        <v>CODIGO</v>
      </c>
      <c r="C162" s="201" t="e">
        <f>'INVENTARIO PISO '!I130</f>
        <v>#VALUE!</v>
      </c>
    </row>
    <row r="163" spans="2:3" x14ac:dyDescent="0.3">
      <c r="B163" s="338">
        <f>'INVENTARIO PISO '!A131</f>
        <v>120181</v>
      </c>
      <c r="C163" s="201">
        <f>'INVENTARIO PISO '!I131</f>
        <v>11.249999999999995</v>
      </c>
    </row>
    <row r="164" spans="2:3" x14ac:dyDescent="0.3">
      <c r="B164" s="338">
        <f>'INVENTARIO PISO '!A132</f>
        <v>120156</v>
      </c>
      <c r="C164" s="201">
        <f>'INVENTARIO PISO '!I132</f>
        <v>6</v>
      </c>
    </row>
    <row r="165" spans="2:3" x14ac:dyDescent="0.3">
      <c r="B165" s="338">
        <f>'INVENTARIO PISO '!A133</f>
        <v>120182</v>
      </c>
      <c r="C165" s="201">
        <f>'INVENTARIO PISO '!I133</f>
        <v>29.833333333333346</v>
      </c>
    </row>
    <row r="166" spans="2:3" x14ac:dyDescent="0.3">
      <c r="B166" s="338">
        <f>'INVENTARIO PISO '!A134</f>
        <v>120183</v>
      </c>
      <c r="C166" s="201">
        <f>'INVENTARIO PISO '!I134</f>
        <v>13</v>
      </c>
    </row>
    <row r="167" spans="2:3" x14ac:dyDescent="0.3">
      <c r="B167" s="338">
        <f>'INVENTARIO PISO '!A135</f>
        <v>160259</v>
      </c>
      <c r="C167" s="201">
        <f>'INVENTARIO PISO '!I135</f>
        <v>0</v>
      </c>
    </row>
    <row r="168" spans="2:3" x14ac:dyDescent="0.3">
      <c r="B168" s="338">
        <f>'INVENTARIO PISO '!A136</f>
        <v>120023</v>
      </c>
      <c r="C168" s="201">
        <f>'INVENTARIO PISO '!I136</f>
        <v>0</v>
      </c>
    </row>
    <row r="169" spans="2:3" x14ac:dyDescent="0.3">
      <c r="B169" s="338">
        <f>'INVENTARIO PISO '!A137</f>
        <v>120027</v>
      </c>
      <c r="C169" s="201">
        <f>'INVENTARIO PISO '!I137</f>
        <v>23.458333333333332</v>
      </c>
    </row>
    <row r="170" spans="2:3" x14ac:dyDescent="0.3">
      <c r="B170" s="338">
        <f>'INVENTARIO PISO '!A138</f>
        <v>160378</v>
      </c>
      <c r="C170" s="201">
        <f>'INVENTARIO PISO '!I138</f>
        <v>0</v>
      </c>
    </row>
    <row r="171" spans="2:3" x14ac:dyDescent="0.3">
      <c r="B171" s="338">
        <f>'INVENTARIO PISO '!A139</f>
        <v>120057</v>
      </c>
      <c r="C171" s="201">
        <f>'INVENTARIO PISO '!I139</f>
        <v>0</v>
      </c>
    </row>
    <row r="172" spans="2:3" x14ac:dyDescent="0.3">
      <c r="B172" s="338">
        <f>'INVENTARIO PISO '!A140</f>
        <v>120112</v>
      </c>
      <c r="C172" s="201">
        <f>'INVENTARIO PISO '!I140</f>
        <v>0</v>
      </c>
    </row>
    <row r="173" spans="2:3" x14ac:dyDescent="0.3">
      <c r="B173" s="338">
        <f>'INVENTARIO PISO '!A141</f>
        <v>120175</v>
      </c>
      <c r="C173" s="201">
        <f>'INVENTARIO PISO '!I141</f>
        <v>20.333333333333325</v>
      </c>
    </row>
    <row r="174" spans="2:3" x14ac:dyDescent="0.3">
      <c r="B174" s="338">
        <f>'INVENTARIO PISO '!A142</f>
        <v>0</v>
      </c>
      <c r="C174" s="201">
        <f>'INVENTARIO PISO '!I142</f>
        <v>0</v>
      </c>
    </row>
    <row r="175" spans="2:3" hidden="1" x14ac:dyDescent="0.3">
      <c r="B175" s="338" t="str">
        <f>'INVENTARIO PISO '!A143</f>
        <v>*</v>
      </c>
      <c r="C175" s="201" t="e">
        <f>'INVENTARIO PISO '!I143</f>
        <v>#DIV/0!</v>
      </c>
    </row>
    <row r="176" spans="2:3" x14ac:dyDescent="0.3">
      <c r="B176" s="338">
        <f>'INVENTARIO PISO '!A144</f>
        <v>160186</v>
      </c>
      <c r="C176" s="201">
        <f>'INVENTARIO PISO '!I144</f>
        <v>2</v>
      </c>
    </row>
    <row r="177" spans="2:3" x14ac:dyDescent="0.3">
      <c r="B177" s="338">
        <f>'INVENTARIO PISO '!A145</f>
        <v>160187</v>
      </c>
      <c r="C177" s="201">
        <f>'INVENTARIO PISO '!I145</f>
        <v>0</v>
      </c>
    </row>
    <row r="178" spans="2:3" x14ac:dyDescent="0.3">
      <c r="B178" s="338">
        <f>'INVENTARIO PISO '!A146</f>
        <v>160188</v>
      </c>
      <c r="C178" s="201">
        <f>'INVENTARIO PISO '!I146</f>
        <v>9</v>
      </c>
    </row>
    <row r="179" spans="2:3" x14ac:dyDescent="0.3">
      <c r="B179" s="338">
        <f>'INVENTARIO PISO '!A147</f>
        <v>160223</v>
      </c>
      <c r="C179" s="201">
        <f>'INVENTARIO PISO '!I147</f>
        <v>18.833333333333346</v>
      </c>
    </row>
    <row r="180" spans="2:3" x14ac:dyDescent="0.3">
      <c r="B180" s="338">
        <f>'INVENTARIO PISO '!A148</f>
        <v>0</v>
      </c>
      <c r="C180" s="201">
        <f>'INVENTARIO PISO '!I148</f>
        <v>0</v>
      </c>
    </row>
    <row r="181" spans="2:3" x14ac:dyDescent="0.3">
      <c r="B181" s="338">
        <f>'INVENTARIO PISO '!A149</f>
        <v>0</v>
      </c>
      <c r="C181" s="201">
        <f>'INVENTARIO PISO '!I149</f>
        <v>0</v>
      </c>
    </row>
    <row r="182" spans="2:3" x14ac:dyDescent="0.3">
      <c r="B182" s="338">
        <f>'INVENTARIO PISO '!A150</f>
        <v>0</v>
      </c>
      <c r="C182" s="201">
        <f>'INVENTARIO PISO '!I150</f>
        <v>0</v>
      </c>
    </row>
    <row r="183" spans="2:3" hidden="1" x14ac:dyDescent="0.3">
      <c r="B183" s="338" t="str">
        <f>'INVENTARIO PISO '!A151</f>
        <v>*</v>
      </c>
      <c r="C183" s="201" t="e">
        <f>'INVENTARIO PISO '!I151</f>
        <v>#DIV/0!</v>
      </c>
    </row>
    <row r="184" spans="2:3" x14ac:dyDescent="0.3">
      <c r="B184" s="338">
        <f>'INVENTARIO PISO '!A152</f>
        <v>160080</v>
      </c>
      <c r="C184" s="201">
        <f>'INVENTARIO PISO '!I152</f>
        <v>3.6666666666666674</v>
      </c>
    </row>
    <row r="185" spans="2:3" x14ac:dyDescent="0.3">
      <c r="B185" s="338">
        <f>'INVENTARIO PISO '!A153</f>
        <v>160081</v>
      </c>
      <c r="C185" s="201">
        <f>'INVENTARIO PISO '!I153</f>
        <v>0</v>
      </c>
    </row>
    <row r="186" spans="2:3" hidden="1" x14ac:dyDescent="0.3">
      <c r="B186" s="338" t="str">
        <f>'INVENTARIO PISO '!A154</f>
        <v>*</v>
      </c>
      <c r="C186" s="201" t="e">
        <f>'INVENTARIO PISO '!I154</f>
        <v>#DIV/0!</v>
      </c>
    </row>
    <row r="187" spans="2:3" x14ac:dyDescent="0.3">
      <c r="B187" s="338">
        <f>'INVENTARIO PISO '!A155</f>
        <v>0</v>
      </c>
      <c r="C187" s="201">
        <f>'INVENTARIO PISO '!I155</f>
        <v>0</v>
      </c>
    </row>
    <row r="188" spans="2:3" x14ac:dyDescent="0.3">
      <c r="B188" s="338">
        <f>'INVENTARIO PISO '!A156</f>
        <v>0</v>
      </c>
      <c r="C188" s="201">
        <f>'INVENTARIO PISO '!I156</f>
        <v>0</v>
      </c>
    </row>
    <row r="189" spans="2:3" x14ac:dyDescent="0.3">
      <c r="B189" s="338">
        <f>'INVENTARIO PISO '!A157</f>
        <v>0</v>
      </c>
      <c r="C189" s="201">
        <f>'INVENTARIO PISO '!I157</f>
        <v>0</v>
      </c>
    </row>
    <row r="190" spans="2:3" x14ac:dyDescent="0.3">
      <c r="B190" s="338">
        <f>'INVENTARIO PISO '!A158</f>
        <v>0</v>
      </c>
      <c r="C190" s="201">
        <f>'INVENTARIO PISO '!I158</f>
        <v>0</v>
      </c>
    </row>
    <row r="191" spans="2:3" x14ac:dyDescent="0.3">
      <c r="B191" s="338">
        <f>'INVENTARIO PISO '!A159</f>
        <v>0</v>
      </c>
      <c r="C191" s="201">
        <f>'INVENTARIO PISO '!I159</f>
        <v>0</v>
      </c>
    </row>
    <row r="192" spans="2:3" x14ac:dyDescent="0.3">
      <c r="B192" s="338">
        <f>'INVENTARIO PISO '!A160</f>
        <v>0</v>
      </c>
      <c r="C192" s="201">
        <f>'INVENTARIO PISO '!I160</f>
        <v>0</v>
      </c>
    </row>
    <row r="193" spans="2:3" x14ac:dyDescent="0.3">
      <c r="B193" s="338">
        <f>'INVENTARIO PISO '!A161</f>
        <v>0</v>
      </c>
      <c r="C193" s="201">
        <f>'INVENTARIO PISO '!I161</f>
        <v>0</v>
      </c>
    </row>
    <row r="194" spans="2:3" x14ac:dyDescent="0.3">
      <c r="B194" s="338">
        <f>'INVENTARIO PISO '!A162</f>
        <v>0</v>
      </c>
      <c r="C194" s="201">
        <f>'INVENTARIO PISO '!I162</f>
        <v>0</v>
      </c>
    </row>
    <row r="195" spans="2:3" x14ac:dyDescent="0.3">
      <c r="B195" s="338">
        <f>'INVENTARIO PISO '!A163</f>
        <v>120184</v>
      </c>
      <c r="C195" s="201">
        <f>'INVENTARIO PISO '!I163</f>
        <v>0</v>
      </c>
    </row>
    <row r="196" spans="2:3" x14ac:dyDescent="0.3">
      <c r="B196" s="338">
        <f>'INVENTARIO PISO '!A164</f>
        <v>120158</v>
      </c>
      <c r="C196" s="201">
        <f>'INVENTARIO PISO '!I164</f>
        <v>5.5833333333333357</v>
      </c>
    </row>
    <row r="197" spans="2:3" x14ac:dyDescent="0.3">
      <c r="B197" s="338">
        <f>'INVENTARIO PISO '!A165</f>
        <v>120117</v>
      </c>
      <c r="C197" s="201">
        <f>'INVENTARIO PISO '!I165</f>
        <v>458.66666666666652</v>
      </c>
    </row>
    <row r="198" spans="2:3" hidden="1" x14ac:dyDescent="0.3">
      <c r="B198" s="338" t="str">
        <f>'INVENTARIO PISO '!A166</f>
        <v>*</v>
      </c>
      <c r="C198" s="201" t="e">
        <f>'INVENTARIO PISO '!I166</f>
        <v>#DIV/0!</v>
      </c>
    </row>
    <row r="199" spans="2:3" x14ac:dyDescent="0.3">
      <c r="B199" s="338">
        <f>'INVENTARIO PISO '!A167</f>
        <v>0</v>
      </c>
      <c r="C199" s="201">
        <f>'INVENTARIO PISO '!I167</f>
        <v>0</v>
      </c>
    </row>
    <row r="200" spans="2:3" x14ac:dyDescent="0.3">
      <c r="B200" s="338">
        <f>'INVENTARIO PISO '!A168</f>
        <v>0</v>
      </c>
      <c r="C200" s="201">
        <f>'INVENTARIO PISO '!I168</f>
        <v>0</v>
      </c>
    </row>
    <row r="201" spans="2:3" x14ac:dyDescent="0.3">
      <c r="B201" s="338">
        <f>'INVENTARIO PISO '!A169</f>
        <v>0</v>
      </c>
      <c r="C201" s="201">
        <f>'INVENTARIO PISO '!I169</f>
        <v>0</v>
      </c>
    </row>
    <row r="202" spans="2:3" x14ac:dyDescent="0.3">
      <c r="B202" s="338">
        <f>'INVENTARIO PISO '!A170</f>
        <v>0</v>
      </c>
      <c r="C202" s="201">
        <f>'INVENTARIO PISO '!I170</f>
        <v>0</v>
      </c>
    </row>
    <row r="203" spans="2:3" x14ac:dyDescent="0.3">
      <c r="B203" s="338">
        <f>'INVENTARIO PISO '!A171</f>
        <v>0</v>
      </c>
      <c r="C203" s="201">
        <f>'INVENTARIO PISO '!I171</f>
        <v>0</v>
      </c>
    </row>
    <row r="204" spans="2:3" x14ac:dyDescent="0.3">
      <c r="B204" s="338">
        <f>'INVENTARIO PISO '!A172</f>
        <v>0</v>
      </c>
      <c r="C204" s="201">
        <f>'INVENTARIO PISO '!I172</f>
        <v>0</v>
      </c>
    </row>
    <row r="205" spans="2:3" hidden="1" x14ac:dyDescent="0.3">
      <c r="B205" s="338" t="str">
        <f>'INVENTARIO PISO '!A173</f>
        <v>*</v>
      </c>
      <c r="C205" s="201" t="e">
        <f>'INVENTARIO PISO '!I173</f>
        <v>#DIV/0!</v>
      </c>
    </row>
    <row r="206" spans="2:3" x14ac:dyDescent="0.3">
      <c r="B206" s="338">
        <f>'INVENTARIO PISO '!A174</f>
        <v>120185</v>
      </c>
      <c r="C206" s="201">
        <f>'INVENTARIO PISO '!I174</f>
        <v>75.333333333333385</v>
      </c>
    </row>
    <row r="207" spans="2:3" x14ac:dyDescent="0.3">
      <c r="B207" s="338">
        <f>'INVENTARIO PISO '!A175</f>
        <v>120159</v>
      </c>
      <c r="C207" s="201">
        <f>'INVENTARIO PISO '!I175</f>
        <v>0</v>
      </c>
    </row>
    <row r="208" spans="2:3" x14ac:dyDescent="0.3">
      <c r="B208" s="338">
        <f>'INVENTARIO PISO '!A176</f>
        <v>0</v>
      </c>
      <c r="C208" s="201">
        <f>'INVENTARIO PISO '!I176</f>
        <v>0</v>
      </c>
    </row>
    <row r="209" spans="2:3" x14ac:dyDescent="0.3">
      <c r="B209" s="338">
        <f>'INVENTARIO PISO '!A177</f>
        <v>0</v>
      </c>
      <c r="C209" s="201">
        <f>'INVENTARIO PISO '!I177</f>
        <v>0</v>
      </c>
    </row>
    <row r="210" spans="2:3" x14ac:dyDescent="0.3">
      <c r="B210" s="338">
        <f>'INVENTARIO PISO '!A178</f>
        <v>0</v>
      </c>
      <c r="C210" s="201">
        <f>'INVENTARIO PISO '!I178</f>
        <v>0</v>
      </c>
    </row>
    <row r="211" spans="2:3" x14ac:dyDescent="0.3">
      <c r="B211" s="338">
        <f>'INVENTARIO PISO '!A179</f>
        <v>0</v>
      </c>
      <c r="C211" s="201">
        <f>'INVENTARIO PISO '!I179</f>
        <v>0</v>
      </c>
    </row>
    <row r="212" spans="2:3" x14ac:dyDescent="0.3">
      <c r="B212" s="338">
        <f>'INVENTARIO PISO '!A180</f>
        <v>0</v>
      </c>
      <c r="C212" s="201">
        <f>'INVENTARIO PISO '!I180</f>
        <v>0</v>
      </c>
    </row>
    <row r="213" spans="2:3" x14ac:dyDescent="0.3">
      <c r="B213" s="338">
        <f>'INVENTARIO PISO '!A181</f>
        <v>0</v>
      </c>
      <c r="C213" s="201">
        <f>'INVENTARIO PISO '!I181</f>
        <v>0</v>
      </c>
    </row>
    <row r="214" spans="2:3" x14ac:dyDescent="0.3">
      <c r="B214" s="338">
        <f>'INVENTARIO PISO '!A182</f>
        <v>0</v>
      </c>
      <c r="C214" s="201">
        <f>'INVENTARIO PISO '!I182</f>
        <v>0</v>
      </c>
    </row>
    <row r="215" spans="2:3" x14ac:dyDescent="0.3">
      <c r="B215" s="338">
        <f>'INVENTARIO PISO '!A183</f>
        <v>120160</v>
      </c>
      <c r="C215" s="201">
        <f>'INVENTARIO PISO '!I183</f>
        <v>8</v>
      </c>
    </row>
    <row r="216" spans="2:3" x14ac:dyDescent="0.3">
      <c r="B216" s="338">
        <f>'INVENTARIO PISO '!A184</f>
        <v>0</v>
      </c>
      <c r="C216" s="201">
        <f>'INVENTARIO PISO '!I184</f>
        <v>0</v>
      </c>
    </row>
    <row r="217" spans="2:3" x14ac:dyDescent="0.3">
      <c r="B217" s="338">
        <f>'INVENTARIO PISO '!A185</f>
        <v>0</v>
      </c>
      <c r="C217" s="201">
        <f>'INVENTARIO PISO '!I185</f>
        <v>0</v>
      </c>
    </row>
    <row r="218" spans="2:3" x14ac:dyDescent="0.3">
      <c r="B218" s="338">
        <f>'INVENTARIO PISO '!A186</f>
        <v>0</v>
      </c>
      <c r="C218" s="201">
        <f>'INVENTARIO PISO '!I186</f>
        <v>0</v>
      </c>
    </row>
    <row r="219" spans="2:3" x14ac:dyDescent="0.3">
      <c r="B219" s="338">
        <f>'INVENTARIO PISO '!A187</f>
        <v>120118</v>
      </c>
      <c r="C219" s="201">
        <f>'INVENTARIO PISO '!I187</f>
        <v>253.25</v>
      </c>
    </row>
    <row r="220" spans="2:3" x14ac:dyDescent="0.3">
      <c r="B220" s="338">
        <f>'INVENTARIO PISO '!A188</f>
        <v>120119</v>
      </c>
      <c r="C220" s="201">
        <f>'INVENTARIO PISO '!I188</f>
        <v>22.125000000000021</v>
      </c>
    </row>
    <row r="221" spans="2:3" hidden="1" x14ac:dyDescent="0.3">
      <c r="B221" s="338" t="str">
        <f>'INVENTARIO PISO '!A189</f>
        <v>*</v>
      </c>
      <c r="C221" s="201" t="e">
        <f>'INVENTARIO PISO '!I189</f>
        <v>#DIV/0!</v>
      </c>
    </row>
    <row r="222" spans="2:3" x14ac:dyDescent="0.3">
      <c r="B222" s="338">
        <f>'INVENTARIO PISO '!A190</f>
        <v>0</v>
      </c>
      <c r="C222" s="201">
        <f>'INVENTARIO PISO '!I190</f>
        <v>0</v>
      </c>
    </row>
    <row r="223" spans="2:3" x14ac:dyDescent="0.3">
      <c r="B223" s="338">
        <f>'INVENTARIO PISO '!A191</f>
        <v>0</v>
      </c>
      <c r="C223" s="201">
        <f>'INVENTARIO PISO '!I191</f>
        <v>0</v>
      </c>
    </row>
    <row r="224" spans="2:3" x14ac:dyDescent="0.3">
      <c r="B224" s="338">
        <f>'INVENTARIO PISO '!A192</f>
        <v>0</v>
      </c>
      <c r="C224" s="201">
        <f>'INVENTARIO PISO '!I192</f>
        <v>0</v>
      </c>
    </row>
    <row r="225" spans="2:3" x14ac:dyDescent="0.3">
      <c r="B225" s="338">
        <f>'INVENTARIO PISO '!A193</f>
        <v>0</v>
      </c>
      <c r="C225" s="201">
        <f>'INVENTARIO PISO '!I193</f>
        <v>0</v>
      </c>
    </row>
    <row r="226" spans="2:3" x14ac:dyDescent="0.3">
      <c r="B226" s="338">
        <f>'INVENTARIO PISO '!A194</f>
        <v>0</v>
      </c>
      <c r="C226" s="201">
        <f>'INVENTARIO PISO '!I194</f>
        <v>0</v>
      </c>
    </row>
    <row r="227" spans="2:3" x14ac:dyDescent="0.3">
      <c r="B227" s="338">
        <f>'INVENTARIO PISO '!A195</f>
        <v>0</v>
      </c>
      <c r="C227" s="201">
        <f>'INVENTARIO PISO '!I195</f>
        <v>0</v>
      </c>
    </row>
    <row r="228" spans="2:3" x14ac:dyDescent="0.3">
      <c r="B228" s="338">
        <f>'INVENTARIO PISO '!A196</f>
        <v>0</v>
      </c>
      <c r="C228" s="201">
        <f>'INVENTARIO PISO '!I196</f>
        <v>0</v>
      </c>
    </row>
    <row r="229" spans="2:3" x14ac:dyDescent="0.3">
      <c r="B229" s="338">
        <f>'INVENTARIO PISO '!A197</f>
        <v>120116</v>
      </c>
      <c r="C229" s="201">
        <f>'INVENTARIO PISO '!I197</f>
        <v>0</v>
      </c>
    </row>
    <row r="230" spans="2:3" hidden="1" x14ac:dyDescent="0.3">
      <c r="B230" s="338" t="str">
        <f>'INVENTARIO PISO '!A198</f>
        <v>CODIGO</v>
      </c>
      <c r="C230" s="201" t="e">
        <f>'INVENTARIO PISO '!I198</f>
        <v>#VALUE!</v>
      </c>
    </row>
    <row r="231" spans="2:3" x14ac:dyDescent="0.3">
      <c r="B231" s="338">
        <f>'INVENTARIO PISO '!A199</f>
        <v>0</v>
      </c>
      <c r="C231" s="201">
        <f>'INVENTARIO PISO '!I199</f>
        <v>0</v>
      </c>
    </row>
    <row r="232" spans="2:3" x14ac:dyDescent="0.3">
      <c r="B232" s="338">
        <f>'INVENTARIO PISO '!A200</f>
        <v>0</v>
      </c>
      <c r="C232" s="201">
        <f>'INVENTARIO PISO '!I200</f>
        <v>0</v>
      </c>
    </row>
    <row r="233" spans="2:3" x14ac:dyDescent="0.3">
      <c r="B233" s="338">
        <f>'INVENTARIO PISO '!A201</f>
        <v>0</v>
      </c>
      <c r="C233" s="201">
        <f>'INVENTARIO PISO '!I201</f>
        <v>0</v>
      </c>
    </row>
    <row r="234" spans="2:3" x14ac:dyDescent="0.3">
      <c r="B234" s="338">
        <f>'INVENTARIO PISO '!A202</f>
        <v>0</v>
      </c>
      <c r="C234" s="201">
        <f>'INVENTARIO PISO '!I202</f>
        <v>0</v>
      </c>
    </row>
    <row r="235" spans="2:3" x14ac:dyDescent="0.3">
      <c r="B235" s="338">
        <f>'INVENTARIO PISO '!A203</f>
        <v>0</v>
      </c>
      <c r="C235" s="201">
        <f>'INVENTARIO PISO '!I203</f>
        <v>0</v>
      </c>
    </row>
    <row r="236" spans="2:3" hidden="1" x14ac:dyDescent="0.3">
      <c r="B236" s="338" t="str">
        <f>'INVENTARIO PISO '!A204</f>
        <v>*</v>
      </c>
      <c r="C236" s="201" t="e">
        <f>'INVENTARIO PISO '!I204</f>
        <v>#DIV/0!</v>
      </c>
    </row>
    <row r="237" spans="2:3" x14ac:dyDescent="0.3">
      <c r="B237" s="338">
        <f>'INVENTARIO PISO '!A205</f>
        <v>120134</v>
      </c>
      <c r="C237" s="201">
        <f>'INVENTARIO PISO '!I205</f>
        <v>22.624999999999993</v>
      </c>
    </row>
    <row r="238" spans="2:3" x14ac:dyDescent="0.3">
      <c r="B238" s="338">
        <f>'INVENTARIO PISO '!A206</f>
        <v>120137</v>
      </c>
      <c r="C238" s="201">
        <f>'INVENTARIO PISO '!I206</f>
        <v>0</v>
      </c>
    </row>
    <row r="239" spans="2:3" x14ac:dyDescent="0.3">
      <c r="B239" s="338">
        <f>'INVENTARIO PISO '!A207</f>
        <v>120136</v>
      </c>
      <c r="C239" s="201">
        <f>'INVENTARIO PISO '!I207</f>
        <v>12.666666666666668</v>
      </c>
    </row>
    <row r="240" spans="2:3" x14ac:dyDescent="0.3">
      <c r="B240" s="338">
        <f>'INVENTARIO PISO '!A208</f>
        <v>120133</v>
      </c>
      <c r="C240" s="201">
        <f>'INVENTARIO PISO '!I208</f>
        <v>0</v>
      </c>
    </row>
    <row r="241" spans="2:3" x14ac:dyDescent="0.3">
      <c r="B241" s="338">
        <f>'INVENTARIO PISO '!A209</f>
        <v>120135</v>
      </c>
      <c r="C241" s="201">
        <f>'INVENTARIO PISO '!I209</f>
        <v>0</v>
      </c>
    </row>
    <row r="242" spans="2:3" x14ac:dyDescent="0.3">
      <c r="B242" s="338">
        <f>'INVENTARIO PISO '!A210</f>
        <v>0</v>
      </c>
      <c r="C242" s="201">
        <f>'INVENTARIO PISO '!I210</f>
        <v>0</v>
      </c>
    </row>
    <row r="243" spans="2:3" hidden="1" x14ac:dyDescent="0.3">
      <c r="B243" s="338" t="str">
        <f>'INVENTARIO PISO '!A211</f>
        <v>*</v>
      </c>
      <c r="C243" s="201" t="e">
        <f>'INVENTARIO PISO '!I211</f>
        <v>#DIV/0!</v>
      </c>
    </row>
    <row r="244" spans="2:3" x14ac:dyDescent="0.3">
      <c r="B244" s="338">
        <f>'INVENTARIO PISO '!A212</f>
        <v>120188</v>
      </c>
      <c r="C244" s="201">
        <f>'INVENTARIO PISO '!I212</f>
        <v>15</v>
      </c>
    </row>
    <row r="245" spans="2:3" x14ac:dyDescent="0.3">
      <c r="B245" s="338">
        <f>'INVENTARIO PISO '!A213</f>
        <v>120190</v>
      </c>
      <c r="C245" s="201">
        <f>'INVENTARIO PISO '!I213</f>
        <v>8.4999999999999893</v>
      </c>
    </row>
    <row r="246" spans="2:3" x14ac:dyDescent="0.3">
      <c r="B246" s="338">
        <f>'INVENTARIO PISO '!A214</f>
        <v>120191</v>
      </c>
      <c r="C246" s="201">
        <f>'INVENTARIO PISO '!I214</f>
        <v>2.8333333333333304</v>
      </c>
    </row>
    <row r="247" spans="2:3" x14ac:dyDescent="0.3">
      <c r="B247" s="338">
        <f>'INVENTARIO PISO '!A215</f>
        <v>0</v>
      </c>
      <c r="C247" s="201">
        <f>'INVENTARIO PISO '!I215</f>
        <v>0</v>
      </c>
    </row>
    <row r="248" spans="2:3" x14ac:dyDescent="0.3">
      <c r="B248" s="338">
        <f>'INVENTARIO PISO '!A216</f>
        <v>0</v>
      </c>
      <c r="C248" s="201">
        <f>'INVENTARIO PISO '!I216</f>
        <v>0</v>
      </c>
    </row>
    <row r="249" spans="2:3" x14ac:dyDescent="0.3">
      <c r="B249" s="338">
        <f>'INVENTARIO PISO '!A217</f>
        <v>0</v>
      </c>
      <c r="C249" s="201">
        <f>'INVENTARIO PISO '!I217</f>
        <v>0</v>
      </c>
    </row>
    <row r="250" spans="2:3" x14ac:dyDescent="0.3">
      <c r="B250" s="338">
        <f>'INVENTARIO PISO '!A218</f>
        <v>0</v>
      </c>
      <c r="C250" s="201">
        <f>'INVENTARIO PISO '!I218</f>
        <v>0</v>
      </c>
    </row>
    <row r="251" spans="2:3" x14ac:dyDescent="0.3">
      <c r="B251" s="338">
        <f>'INVENTARIO PISO '!A219</f>
        <v>0</v>
      </c>
      <c r="C251" s="201">
        <f>'INVENTARIO PISO '!I219</f>
        <v>0</v>
      </c>
    </row>
    <row r="252" spans="2:3" hidden="1" x14ac:dyDescent="0.3">
      <c r="B252" s="338" t="str">
        <f>'INVENTARIO PISO '!A220</f>
        <v>*</v>
      </c>
      <c r="C252" s="201" t="e">
        <f>'INVENTARIO PISO '!I220</f>
        <v>#DIV/0!</v>
      </c>
    </row>
    <row r="253" spans="2:3" x14ac:dyDescent="0.3">
      <c r="B253" s="338">
        <f>'INVENTARIO PISO '!A221</f>
        <v>0</v>
      </c>
      <c r="C253" s="201">
        <f>'INVENTARIO PISO '!I221</f>
        <v>0</v>
      </c>
    </row>
    <row r="254" spans="2:3" x14ac:dyDescent="0.3">
      <c r="B254" s="338">
        <f>'INVENTARIO PISO '!A222</f>
        <v>135766</v>
      </c>
      <c r="C254" s="201">
        <f>'INVENTARIO PISO '!I222</f>
        <v>2.5000000000000004</v>
      </c>
    </row>
    <row r="255" spans="2:3" x14ac:dyDescent="0.3">
      <c r="B255" s="338">
        <f>'INVENTARIO PISO '!A223</f>
        <v>0</v>
      </c>
      <c r="C255" s="201">
        <f>'INVENTARIO PISO '!I223</f>
        <v>0</v>
      </c>
    </row>
    <row r="256" spans="2:3" x14ac:dyDescent="0.3">
      <c r="B256" s="338">
        <f>'INVENTARIO PISO '!A224</f>
        <v>56498</v>
      </c>
      <c r="C256" s="201">
        <f>'INVENTARIO PISO '!I224</f>
        <v>5.7499999999999991</v>
      </c>
    </row>
    <row r="257" spans="2:3" x14ac:dyDescent="0.3">
      <c r="B257" s="338">
        <f>'INVENTARIO PISO '!A225</f>
        <v>56490</v>
      </c>
      <c r="C257" s="201">
        <f>'INVENTARIO PISO '!I225</f>
        <v>0.5</v>
      </c>
    </row>
    <row r="258" spans="2:3" x14ac:dyDescent="0.3">
      <c r="B258" s="338">
        <f>'INVENTARIO PISO '!A226</f>
        <v>0</v>
      </c>
      <c r="C258" s="201">
        <f>'INVENTARIO PISO '!I226</f>
        <v>0</v>
      </c>
    </row>
    <row r="259" spans="2:3" x14ac:dyDescent="0.3">
      <c r="B259" s="338">
        <f>'INVENTARIO PISO '!A227</f>
        <v>160192</v>
      </c>
      <c r="C259" s="201">
        <f>'INVENTARIO PISO '!I227</f>
        <v>8</v>
      </c>
    </row>
    <row r="260" spans="2:3" hidden="1" x14ac:dyDescent="0.3">
      <c r="B260" s="338" t="str">
        <f>'INVENTARIO PISO '!A228</f>
        <v>*</v>
      </c>
      <c r="C260" s="201" t="e">
        <f>'INVENTARIO PISO '!I228</f>
        <v>#DIV/0!</v>
      </c>
    </row>
    <row r="261" spans="2:3" x14ac:dyDescent="0.3">
      <c r="B261" s="338">
        <f>'INVENTARIO PISO '!A229</f>
        <v>160121</v>
      </c>
      <c r="C261" s="201">
        <f>'INVENTARIO PISO '!I229</f>
        <v>462.16666666666652</v>
      </c>
    </row>
    <row r="262" spans="2:3" x14ac:dyDescent="0.3">
      <c r="B262" s="338">
        <f>'INVENTARIO PISO '!A230</f>
        <v>160122</v>
      </c>
      <c r="C262" s="201">
        <f>'INVENTARIO PISO '!I230</f>
        <v>154</v>
      </c>
    </row>
    <row r="263" spans="2:3" x14ac:dyDescent="0.3">
      <c r="B263" s="338">
        <f>'INVENTARIO PISO '!A231</f>
        <v>0</v>
      </c>
      <c r="C263" s="201">
        <f>'INVENTARIO PISO '!I231</f>
        <v>0</v>
      </c>
    </row>
    <row r="264" spans="2:3" hidden="1" x14ac:dyDescent="0.3">
      <c r="B264" s="338" t="str">
        <f>'INVENTARIO PISO '!A232</f>
        <v>*</v>
      </c>
      <c r="C264" s="201" t="e">
        <f>'INVENTARIO PISO '!I232</f>
        <v>#DIV/0!</v>
      </c>
    </row>
    <row r="265" spans="2:3" x14ac:dyDescent="0.3">
      <c r="B265" s="338">
        <f>'INVENTARIO PISO '!A233</f>
        <v>160054</v>
      </c>
      <c r="C265" s="201">
        <f>'INVENTARIO PISO '!I233</f>
        <v>0</v>
      </c>
    </row>
    <row r="266" spans="2:3" x14ac:dyDescent="0.3">
      <c r="B266" s="338">
        <f>'INVENTARIO PISO '!A234</f>
        <v>135762</v>
      </c>
      <c r="C266" s="201">
        <f>'INVENTARIO PISO '!I234</f>
        <v>0</v>
      </c>
    </row>
    <row r="267" spans="2:3" x14ac:dyDescent="0.3">
      <c r="B267" s="338">
        <f>'INVENTARIO PISO '!A235</f>
        <v>160063</v>
      </c>
      <c r="C267" s="201">
        <f>'INVENTARIO PISO '!I235</f>
        <v>0</v>
      </c>
    </row>
    <row r="268" spans="2:3" x14ac:dyDescent="0.3">
      <c r="B268" s="338">
        <f>'INVENTARIO PISO '!A236</f>
        <v>160014</v>
      </c>
      <c r="C268" s="201">
        <f>'INVENTARIO PISO '!I236</f>
        <v>7</v>
      </c>
    </row>
    <row r="269" spans="2:3" x14ac:dyDescent="0.3">
      <c r="B269" s="338">
        <f>'INVENTARIO PISO '!A237</f>
        <v>0</v>
      </c>
      <c r="C269" s="201">
        <f>'INVENTARIO PISO '!I237</f>
        <v>0</v>
      </c>
    </row>
    <row r="270" spans="2:3" x14ac:dyDescent="0.3">
      <c r="B270" s="338">
        <f>'INVENTARIO PISO '!A238</f>
        <v>136204</v>
      </c>
      <c r="C270" s="201">
        <f>'INVENTARIO PISO '!I238</f>
        <v>7</v>
      </c>
    </row>
    <row r="271" spans="2:3" hidden="1" x14ac:dyDescent="0.3">
      <c r="B271" s="338" t="str">
        <f>'INVENTARIO PISO '!A239</f>
        <v>*</v>
      </c>
      <c r="C271" s="201" t="e">
        <f>'INVENTARIO PISO '!I239</f>
        <v>#DIV/0!</v>
      </c>
    </row>
    <row r="272" spans="2:3" x14ac:dyDescent="0.3">
      <c r="B272" s="338">
        <f>'INVENTARIO PISO '!A240</f>
        <v>92764</v>
      </c>
      <c r="C272" s="201">
        <f>'INVENTARIO PISO '!I240</f>
        <v>48.750000000000028</v>
      </c>
    </row>
    <row r="273" spans="2:3" x14ac:dyDescent="0.3">
      <c r="B273" s="338">
        <f>'INVENTARIO PISO '!A241</f>
        <v>0</v>
      </c>
      <c r="C273" s="201">
        <f>'INVENTARIO PISO '!I241</f>
        <v>0</v>
      </c>
    </row>
    <row r="274" spans="2:3" x14ac:dyDescent="0.3">
      <c r="B274" s="338">
        <f>'INVENTARIO PISO '!A242</f>
        <v>160240</v>
      </c>
      <c r="C274" s="201">
        <f>'INVENTARIO PISO '!I242</f>
        <v>0.5</v>
      </c>
    </row>
    <row r="275" spans="2:3" x14ac:dyDescent="0.3">
      <c r="B275" s="338">
        <f>'INVENTARIO PISO '!A243</f>
        <v>160241</v>
      </c>
      <c r="C275" s="201">
        <f>'INVENTARIO PISO '!I243</f>
        <v>113.33333333333339</v>
      </c>
    </row>
    <row r="276" spans="2:3" x14ac:dyDescent="0.3">
      <c r="B276" s="338">
        <f>'INVENTARIO PISO '!A244</f>
        <v>160060</v>
      </c>
      <c r="C276" s="201">
        <f>'INVENTARIO PISO '!I244</f>
        <v>0</v>
      </c>
    </row>
    <row r="277" spans="2:3" hidden="1" x14ac:dyDescent="0.3">
      <c r="B277" s="338" t="str">
        <f>'INVENTARIO PISO '!A245</f>
        <v>*</v>
      </c>
      <c r="C277" s="201" t="e">
        <f>'INVENTARIO PISO '!I245</f>
        <v>#DIV/0!</v>
      </c>
    </row>
    <row r="278" spans="2:3" x14ac:dyDescent="0.3">
      <c r="B278" s="338">
        <f>'INVENTARIO PISO '!A246</f>
        <v>160168</v>
      </c>
      <c r="C278" s="201">
        <f>'INVENTARIO PISO '!I246</f>
        <v>87.666666666666657</v>
      </c>
    </row>
    <row r="279" spans="2:3" x14ac:dyDescent="0.3">
      <c r="B279" s="338">
        <f>'INVENTARIO PISO '!A247</f>
        <v>0</v>
      </c>
      <c r="C279" s="201">
        <f>'INVENTARIO PISO '!I247</f>
        <v>0</v>
      </c>
    </row>
    <row r="280" spans="2:3" x14ac:dyDescent="0.3">
      <c r="B280" s="338">
        <f>'INVENTARIO PISO '!A248</f>
        <v>160170</v>
      </c>
      <c r="C280" s="201">
        <f>'INVENTARIO PISO '!I248</f>
        <v>0</v>
      </c>
    </row>
    <row r="281" spans="2:3" x14ac:dyDescent="0.3">
      <c r="B281" s="338">
        <f>'INVENTARIO PISO '!A249</f>
        <v>92768</v>
      </c>
      <c r="C281" s="201">
        <f>'INVENTARIO PISO '!I249</f>
        <v>143.62500000000003</v>
      </c>
    </row>
    <row r="282" spans="2:3" x14ac:dyDescent="0.3">
      <c r="B282" s="338">
        <f>'INVENTARIO PISO '!A250</f>
        <v>92793</v>
      </c>
      <c r="C282" s="201">
        <f>'INVENTARIO PISO '!I250</f>
        <v>11.91666666666667</v>
      </c>
    </row>
    <row r="283" spans="2:3" hidden="1" x14ac:dyDescent="0.3">
      <c r="B283" s="338" t="str">
        <f>'INVENTARIO PISO '!A251</f>
        <v>*</v>
      </c>
      <c r="C283" s="201" t="e">
        <f>'INVENTARIO PISO '!I251</f>
        <v>#DIV/0!</v>
      </c>
    </row>
    <row r="284" spans="2:3" x14ac:dyDescent="0.3">
      <c r="B284" s="338">
        <f>'INVENTARIO PISO '!A252</f>
        <v>0</v>
      </c>
      <c r="C284" s="201">
        <f>'INVENTARIO PISO '!I252</f>
        <v>0</v>
      </c>
    </row>
    <row r="285" spans="2:3" x14ac:dyDescent="0.3">
      <c r="B285" s="338">
        <f>'INVENTARIO PISO '!A253</f>
        <v>0</v>
      </c>
      <c r="C285" s="201">
        <f>'INVENTARIO PISO '!I253</f>
        <v>0</v>
      </c>
    </row>
    <row r="286" spans="2:3" hidden="1" x14ac:dyDescent="0.3">
      <c r="B286" s="338" t="str">
        <f>'INVENTARIO PISO '!A254</f>
        <v>CODIGO</v>
      </c>
      <c r="C286" s="201" t="e">
        <f>'INVENTARIO PISO '!I254</f>
        <v>#VALUE!</v>
      </c>
    </row>
    <row r="287" spans="2:3" x14ac:dyDescent="0.3">
      <c r="B287" s="338">
        <f>'INVENTARIO PISO '!A255</f>
        <v>160151</v>
      </c>
      <c r="C287" s="201">
        <f>'INVENTARIO PISO '!I255</f>
        <v>65.500000000000256</v>
      </c>
    </row>
    <row r="288" spans="2:3" x14ac:dyDescent="0.3">
      <c r="B288" s="338">
        <f>'INVENTARIO PISO '!A256</f>
        <v>0</v>
      </c>
      <c r="C288" s="201">
        <f>'INVENTARIO PISO '!I256</f>
        <v>0</v>
      </c>
    </row>
    <row r="289" spans="2:3" x14ac:dyDescent="0.3">
      <c r="B289" s="338">
        <f>'INVENTARIO PISO '!A257</f>
        <v>160047</v>
      </c>
      <c r="C289" s="201">
        <f>'INVENTARIO PISO '!I257</f>
        <v>406</v>
      </c>
    </row>
    <row r="290" spans="2:3" x14ac:dyDescent="0.3">
      <c r="B290" s="338">
        <f>'INVENTARIO PISO '!A258</f>
        <v>0</v>
      </c>
      <c r="C290" s="201">
        <f>'INVENTARIO PISO '!I258</f>
        <v>0</v>
      </c>
    </row>
    <row r="291" spans="2:3" x14ac:dyDescent="0.3">
      <c r="B291" s="338">
        <f>'INVENTARIO PISO '!A259</f>
        <v>0</v>
      </c>
      <c r="C291" s="201">
        <f>'INVENTARIO PISO '!I259</f>
        <v>0</v>
      </c>
    </row>
    <row r="292" spans="2:3" x14ac:dyDescent="0.3">
      <c r="B292" s="338">
        <f>'INVENTARIO PISO '!A260</f>
        <v>160046</v>
      </c>
      <c r="C292" s="201">
        <f>'INVENTARIO PISO '!I260</f>
        <v>88.208333333333314</v>
      </c>
    </row>
    <row r="293" spans="2:3" x14ac:dyDescent="0.3">
      <c r="B293" s="338">
        <f>'INVENTARIO PISO '!A261</f>
        <v>92740</v>
      </c>
      <c r="C293" s="201">
        <f>'INVENTARIO PISO '!I261</f>
        <v>0</v>
      </c>
    </row>
    <row r="294" spans="2:3" x14ac:dyDescent="0.3">
      <c r="B294" s="338">
        <f>'INVENTARIO PISO '!A262</f>
        <v>92770</v>
      </c>
      <c r="C294" s="201">
        <f>'INVENTARIO PISO '!I262</f>
        <v>12.083333333333332</v>
      </c>
    </row>
    <row r="295" spans="2:3" x14ac:dyDescent="0.3">
      <c r="B295" s="338">
        <f>'INVENTARIO PISO '!A263</f>
        <v>92795</v>
      </c>
      <c r="C295" s="201">
        <f>'INVENTARIO PISO '!I263</f>
        <v>9.5833333333333357</v>
      </c>
    </row>
    <row r="296" spans="2:3" hidden="1" x14ac:dyDescent="0.3">
      <c r="B296" s="338" t="str">
        <f>'INVENTARIO PISO '!A264</f>
        <v>*</v>
      </c>
      <c r="C296" s="201" t="e">
        <f>'INVENTARIO PISO '!I264</f>
        <v>#DIV/0!</v>
      </c>
    </row>
    <row r="297" spans="2:3" x14ac:dyDescent="0.3">
      <c r="B297" s="338">
        <f>'INVENTARIO PISO '!A265</f>
        <v>92794</v>
      </c>
      <c r="C297" s="201">
        <f>'INVENTARIO PISO '!I265</f>
        <v>36</v>
      </c>
    </row>
    <row r="298" spans="2:3" x14ac:dyDescent="0.3">
      <c r="B298" s="338">
        <f>'INVENTARIO PISO '!A266</f>
        <v>92736</v>
      </c>
      <c r="C298" s="201">
        <f>'INVENTARIO PISO '!I266</f>
        <v>83.333333333333272</v>
      </c>
    </row>
    <row r="299" spans="2:3" x14ac:dyDescent="0.3">
      <c r="B299" s="338">
        <f>'INVENTARIO PISO '!A267</f>
        <v>92769</v>
      </c>
      <c r="C299" s="201">
        <f>'INVENTARIO PISO '!I267</f>
        <v>4.8333333333333304</v>
      </c>
    </row>
    <row r="300" spans="2:3" hidden="1" x14ac:dyDescent="0.3">
      <c r="B300" s="338" t="str">
        <f>'INVENTARIO PISO '!A268</f>
        <v>*</v>
      </c>
      <c r="C300" s="201" t="e">
        <f>'INVENTARIO PISO '!I268</f>
        <v>#DIV/0!</v>
      </c>
    </row>
    <row r="301" spans="2:3" x14ac:dyDescent="0.3">
      <c r="B301" s="338">
        <f>'INVENTARIO PISO '!A269</f>
        <v>160008</v>
      </c>
      <c r="C301" s="201">
        <f>'INVENTARIO PISO '!I269</f>
        <v>99.333333333333272</v>
      </c>
    </row>
    <row r="302" spans="2:3" x14ac:dyDescent="0.3">
      <c r="B302" s="338">
        <f>'INVENTARIO PISO '!A270</f>
        <v>92757</v>
      </c>
      <c r="C302" s="201">
        <f>'INVENTARIO PISO '!I270</f>
        <v>0</v>
      </c>
    </row>
    <row r="303" spans="2:3" x14ac:dyDescent="0.3">
      <c r="B303" s="338">
        <f>'INVENTARIO PISO '!A271</f>
        <v>0</v>
      </c>
      <c r="C303" s="201">
        <f>'INVENTARIO PISO '!I271</f>
        <v>0</v>
      </c>
    </row>
    <row r="304" spans="2:3" x14ac:dyDescent="0.3">
      <c r="B304" s="338">
        <f>'INVENTARIO PISO '!A272</f>
        <v>160048</v>
      </c>
      <c r="C304" s="201">
        <f>'INVENTARIO PISO '!I272</f>
        <v>256</v>
      </c>
    </row>
    <row r="305" spans="2:3" hidden="1" x14ac:dyDescent="0.3">
      <c r="B305" s="338" t="str">
        <f>'INVENTARIO PISO '!A273</f>
        <v>*</v>
      </c>
      <c r="C305" s="201" t="e">
        <f>'INVENTARIO PISO '!I273</f>
        <v>#DIV/0!</v>
      </c>
    </row>
    <row r="306" spans="2:3" x14ac:dyDescent="0.3">
      <c r="B306" s="338">
        <f>'INVENTARIO PISO '!A274</f>
        <v>0</v>
      </c>
      <c r="C306" s="201">
        <f>'INVENTARIO PISO '!I274</f>
        <v>0</v>
      </c>
    </row>
    <row r="307" spans="2:3" x14ac:dyDescent="0.3">
      <c r="B307" s="338">
        <f>'INVENTARIO PISO '!A275</f>
        <v>0</v>
      </c>
      <c r="C307" s="201">
        <f>'INVENTARIO PISO '!I275</f>
        <v>0</v>
      </c>
    </row>
    <row r="308" spans="2:3" x14ac:dyDescent="0.3">
      <c r="B308" s="338">
        <f>'INVENTARIO PISO '!A276</f>
        <v>0</v>
      </c>
      <c r="C308" s="201">
        <f>'INVENTARIO PISO '!I276</f>
        <v>0</v>
      </c>
    </row>
    <row r="309" spans="2:3" hidden="1" x14ac:dyDescent="0.3">
      <c r="B309" s="338" t="str">
        <f>'INVENTARIO PISO '!A277</f>
        <v>*</v>
      </c>
      <c r="C309" s="201">
        <f>'INVENTARIO PISO '!I277</f>
        <v>0</v>
      </c>
    </row>
    <row r="310" spans="2:3" x14ac:dyDescent="0.3">
      <c r="B310" s="338">
        <f>'INVENTARIO PISO '!A278</f>
        <v>135676</v>
      </c>
      <c r="C310" s="201">
        <f>'INVENTARIO PISO '!I278</f>
        <v>3</v>
      </c>
    </row>
    <row r="311" spans="2:3" x14ac:dyDescent="0.3">
      <c r="B311" s="338">
        <f>'INVENTARIO PISO '!A279</f>
        <v>0</v>
      </c>
      <c r="C311" s="201">
        <f>'INVENTARIO PISO '!I279</f>
        <v>0</v>
      </c>
    </row>
    <row r="312" spans="2:3" x14ac:dyDescent="0.3">
      <c r="B312" s="338">
        <f>'INVENTARIO PISO '!A280</f>
        <v>0</v>
      </c>
      <c r="C312" s="201">
        <f>'INVENTARIO PISO '!I280</f>
        <v>0</v>
      </c>
    </row>
    <row r="313" spans="2:3" x14ac:dyDescent="0.3">
      <c r="B313" s="338">
        <f>'INVENTARIO PISO '!A281</f>
        <v>92787</v>
      </c>
      <c r="C313" s="201">
        <f>'INVENTARIO PISO '!I281</f>
        <v>0</v>
      </c>
    </row>
    <row r="314" spans="2:3" x14ac:dyDescent="0.3">
      <c r="B314" s="338">
        <f>'INVENTARIO PISO '!A282</f>
        <v>0</v>
      </c>
      <c r="C314" s="201">
        <f>'INVENTARIO PISO '!I282</f>
        <v>0</v>
      </c>
    </row>
    <row r="315" spans="2:3" hidden="1" x14ac:dyDescent="0.3">
      <c r="B315" s="338" t="str">
        <f>'INVENTARIO PISO '!A283</f>
        <v>*</v>
      </c>
      <c r="C315" s="201">
        <f>'INVENTARIO PISO '!I283</f>
        <v>0</v>
      </c>
    </row>
    <row r="316" spans="2:3" x14ac:dyDescent="0.3">
      <c r="B316" s="338">
        <f>'INVENTARIO PISO '!A284</f>
        <v>135772</v>
      </c>
      <c r="C316" s="201">
        <f>'INVENTARIO PISO '!I284</f>
        <v>1</v>
      </c>
    </row>
    <row r="317" spans="2:3" x14ac:dyDescent="0.3">
      <c r="B317" s="338">
        <f>'INVENTARIO PISO '!A285</f>
        <v>135685</v>
      </c>
      <c r="C317" s="201">
        <f>'INVENTARIO PISO '!I285</f>
        <v>21</v>
      </c>
    </row>
    <row r="318" spans="2:3" hidden="1" x14ac:dyDescent="0.3">
      <c r="B318" s="338" t="str">
        <f>'INVENTARIO PISO '!A286</f>
        <v>*</v>
      </c>
      <c r="C318" s="201">
        <f>'INVENTARIO PISO '!I286</f>
        <v>0</v>
      </c>
    </row>
    <row r="319" spans="2:3" x14ac:dyDescent="0.3">
      <c r="B319" s="338">
        <f>'INVENTARIO PISO '!A287</f>
        <v>0</v>
      </c>
      <c r="C319" s="201">
        <f>'INVENTARIO PISO '!I287</f>
        <v>0</v>
      </c>
    </row>
    <row r="320" spans="2:3" x14ac:dyDescent="0.3">
      <c r="B320" s="338">
        <f>'INVENTARIO PISO '!A288</f>
        <v>0</v>
      </c>
      <c r="C320" s="201">
        <f>'INVENTARIO PISO '!I288</f>
        <v>0</v>
      </c>
    </row>
    <row r="321" spans="2:3" hidden="1" x14ac:dyDescent="0.3">
      <c r="B321" s="338" t="str">
        <f>'INVENTARIO PISO '!A289</f>
        <v>*</v>
      </c>
      <c r="C321" s="201">
        <f>'INVENTARIO PISO '!I289</f>
        <v>0</v>
      </c>
    </row>
    <row r="322" spans="2:3" x14ac:dyDescent="0.3">
      <c r="B322" s="338">
        <f>'INVENTARIO PISO '!A290</f>
        <v>120120</v>
      </c>
      <c r="C322" s="201">
        <f>'INVENTARIO PISO '!I290</f>
        <v>43</v>
      </c>
    </row>
    <row r="323" spans="2:3" x14ac:dyDescent="0.3">
      <c r="B323" s="338">
        <f>'INVENTARIO PISO '!A291</f>
        <v>0</v>
      </c>
      <c r="C323" s="201">
        <f>'INVENTARIO PISO '!I291</f>
        <v>0</v>
      </c>
    </row>
    <row r="324" spans="2:3" x14ac:dyDescent="0.3">
      <c r="B324" s="338">
        <f>'INVENTARIO PISO '!A292</f>
        <v>0</v>
      </c>
      <c r="C324" s="201">
        <f>'INVENTARIO PISO '!I292</f>
        <v>0</v>
      </c>
    </row>
    <row r="325" spans="2:3" x14ac:dyDescent="0.3">
      <c r="B325" s="338">
        <f>'INVENTARIO PISO '!A293</f>
        <v>0</v>
      </c>
      <c r="C325" s="201">
        <f>'INVENTARIO PISO '!I293</f>
        <v>0</v>
      </c>
    </row>
    <row r="326" spans="2:3" x14ac:dyDescent="0.3">
      <c r="B326" s="338">
        <f>'INVENTARIO PISO '!A294</f>
        <v>0</v>
      </c>
      <c r="C326" s="201">
        <f>'INVENTARIO PISO '!I294</f>
        <v>0</v>
      </c>
    </row>
    <row r="327" spans="2:3" hidden="1" x14ac:dyDescent="0.3">
      <c r="B327" s="338" t="str">
        <f>'INVENTARIO PISO '!A295</f>
        <v>*</v>
      </c>
      <c r="C327" s="201">
        <f>'INVENTARIO PISO '!I295</f>
        <v>0</v>
      </c>
    </row>
    <row r="328" spans="2:3" x14ac:dyDescent="0.3">
      <c r="B328" s="338">
        <f>'INVENTARIO PISO '!A296</f>
        <v>0</v>
      </c>
      <c r="C328" s="201">
        <f>'INVENTARIO PISO '!I296</f>
        <v>0</v>
      </c>
    </row>
    <row r="329" spans="2:3" x14ac:dyDescent="0.3">
      <c r="B329" s="338">
        <f>'INVENTARIO PISO '!A297</f>
        <v>0</v>
      </c>
      <c r="C329" s="201">
        <f>'INVENTARIO PISO '!I297</f>
        <v>0</v>
      </c>
    </row>
    <row r="330" spans="2:3" x14ac:dyDescent="0.3">
      <c r="B330" s="338">
        <f>'INVENTARIO PISO '!A298</f>
        <v>0</v>
      </c>
      <c r="C330" s="201">
        <f>'INVENTARIO PISO '!I298</f>
        <v>0</v>
      </c>
    </row>
    <row r="331" spans="2:3" x14ac:dyDescent="0.3">
      <c r="B331" s="338">
        <f>'INVENTARIO PISO '!A299</f>
        <v>0</v>
      </c>
      <c r="C331" s="201">
        <f>'INVENTARIO PISO '!I299</f>
        <v>0</v>
      </c>
    </row>
    <row r="332" spans="2:3" x14ac:dyDescent="0.3">
      <c r="B332" s="338">
        <f>'INVENTARIO PISO '!A300</f>
        <v>136247</v>
      </c>
      <c r="C332" s="201">
        <f>'INVENTARIO PISO '!I300</f>
        <v>99</v>
      </c>
    </row>
    <row r="333" spans="2:3" x14ac:dyDescent="0.3">
      <c r="B333" s="338">
        <f>'INVENTARIO PISO '!A301</f>
        <v>120196</v>
      </c>
      <c r="C333" s="201">
        <f>'INVENTARIO PISO '!I301</f>
        <v>118</v>
      </c>
    </row>
    <row r="334" spans="2:3" x14ac:dyDescent="0.3">
      <c r="B334" s="338">
        <f>'INVENTARIO PISO '!A302</f>
        <v>0</v>
      </c>
      <c r="C334" s="201">
        <f>'INVENTARIO PISO '!I302</f>
        <v>0</v>
      </c>
    </row>
    <row r="335" spans="2:3" x14ac:dyDescent="0.3">
      <c r="B335" s="338">
        <f>'INVENTARIO PISO '!A303</f>
        <v>0</v>
      </c>
      <c r="C335" s="201">
        <f>'INVENTARIO PISO '!I303</f>
        <v>0</v>
      </c>
    </row>
    <row r="336" spans="2:3" x14ac:dyDescent="0.3">
      <c r="B336" s="338">
        <f>'INVENTARIO PISO '!A304</f>
        <v>135770</v>
      </c>
      <c r="C336" s="201">
        <f>'INVENTARIO PISO '!I304</f>
        <v>4</v>
      </c>
    </row>
    <row r="337" spans="2:3" x14ac:dyDescent="0.3">
      <c r="B337" s="338">
        <f>'INVENTARIO PISO '!A305</f>
        <v>0</v>
      </c>
      <c r="C337" s="201">
        <f>'INVENTARIO PISO '!I305</f>
        <v>0</v>
      </c>
    </row>
    <row r="338" spans="2:3" x14ac:dyDescent="0.3">
      <c r="B338" s="338">
        <f>'INVENTARIO PISO '!A306</f>
        <v>0</v>
      </c>
      <c r="C338" s="201">
        <f>'INVENTARIO PISO '!I306</f>
        <v>0</v>
      </c>
    </row>
    <row r="339" spans="2:3" x14ac:dyDescent="0.3">
      <c r="B339" s="338">
        <f>'INVENTARIO PISO '!A307</f>
        <v>0</v>
      </c>
      <c r="C339" s="201">
        <f>'INVENTARIO PISO '!I307</f>
        <v>0</v>
      </c>
    </row>
    <row r="340" spans="2:3" x14ac:dyDescent="0.3">
      <c r="B340" s="338">
        <f>'INVENTARIO PISO '!A308</f>
        <v>0</v>
      </c>
      <c r="C340" s="201">
        <f>'INVENTARIO PISO '!I308</f>
        <v>0</v>
      </c>
    </row>
    <row r="341" spans="2:3" x14ac:dyDescent="0.3">
      <c r="B341" s="338">
        <f>'INVENTARIO PISO '!A309</f>
        <v>135678</v>
      </c>
      <c r="C341" s="201">
        <f>'INVENTARIO PISO '!I309</f>
        <v>6</v>
      </c>
    </row>
    <row r="342" spans="2:3" hidden="1" x14ac:dyDescent="0.3">
      <c r="B342" s="338" t="str">
        <f>'INVENTARIO PISO '!A310</f>
        <v>*</v>
      </c>
      <c r="C342" s="201">
        <f>'INVENTARIO PISO '!I310</f>
        <v>0</v>
      </c>
    </row>
    <row r="343" spans="2:3" x14ac:dyDescent="0.3">
      <c r="B343" s="338">
        <f>'INVENTARIO PISO '!A311</f>
        <v>0</v>
      </c>
      <c r="C343" s="201">
        <f>'INVENTARIO PISO '!I311</f>
        <v>0</v>
      </c>
    </row>
    <row r="344" spans="2:3" x14ac:dyDescent="0.3">
      <c r="B344" s="338">
        <f>'INVENTARIO PISO '!A312</f>
        <v>0</v>
      </c>
      <c r="C344" s="201">
        <f>'INVENTARIO PISO '!I312</f>
        <v>0</v>
      </c>
    </row>
    <row r="345" spans="2:3" x14ac:dyDescent="0.3">
      <c r="B345" s="338">
        <f>'INVENTARIO PISO '!A313</f>
        <v>0</v>
      </c>
      <c r="C345" s="201">
        <f>'INVENTARIO PISO '!I313</f>
        <v>0</v>
      </c>
    </row>
    <row r="346" spans="2:3" x14ac:dyDescent="0.3">
      <c r="B346" s="338">
        <f>'INVENTARIO PISO '!A314</f>
        <v>0</v>
      </c>
      <c r="C346" s="201">
        <f>'INVENTARIO PISO '!I314</f>
        <v>0</v>
      </c>
    </row>
    <row r="347" spans="2:3" x14ac:dyDescent="0.3">
      <c r="B347" s="338">
        <f>'INVENTARIO PISO '!A315</f>
        <v>160201</v>
      </c>
      <c r="C347" s="201">
        <f>'INVENTARIO PISO '!I315</f>
        <v>50</v>
      </c>
    </row>
    <row r="348" spans="2:3" hidden="1" x14ac:dyDescent="0.3">
      <c r="B348" s="338" t="str">
        <f>'INVENTARIO PISO '!A316</f>
        <v>*</v>
      </c>
      <c r="C348" s="201">
        <f>'INVENTARIO PISO '!I316</f>
        <v>0</v>
      </c>
    </row>
    <row r="349" spans="2:3" x14ac:dyDescent="0.3">
      <c r="B349" s="338">
        <f>'INVENTARIO PISO '!A317</f>
        <v>0</v>
      </c>
      <c r="C349" s="201">
        <f>'INVENTARIO PISO '!I317</f>
        <v>0</v>
      </c>
    </row>
    <row r="350" spans="2:3" x14ac:dyDescent="0.3">
      <c r="B350" s="338">
        <f>'INVENTARIO PISO '!A318</f>
        <v>136402</v>
      </c>
      <c r="C350" s="201">
        <f>'INVENTARIO PISO '!I318</f>
        <v>0</v>
      </c>
    </row>
    <row r="351" spans="2:3" x14ac:dyDescent="0.3">
      <c r="B351" s="338">
        <f>'INVENTARIO PISO '!A319</f>
        <v>0</v>
      </c>
      <c r="C351" s="201">
        <f>'INVENTARIO PISO '!I319</f>
        <v>0</v>
      </c>
    </row>
    <row r="352" spans="2:3" x14ac:dyDescent="0.3">
      <c r="B352" s="338">
        <f>'INVENTARIO PISO '!A320</f>
        <v>0</v>
      </c>
      <c r="C352" s="201">
        <f>'INVENTARIO PISO '!I320</f>
        <v>0</v>
      </c>
    </row>
    <row r="353" spans="2:3" x14ac:dyDescent="0.3">
      <c r="B353" s="338">
        <f>'INVENTARIO PISO '!A321</f>
        <v>0</v>
      </c>
      <c r="C353" s="201">
        <f>'INVENTARIO PISO '!I321</f>
        <v>0</v>
      </c>
    </row>
    <row r="354" spans="2:3" x14ac:dyDescent="0.3">
      <c r="B354" s="338">
        <f>'INVENTARIO PISO '!A322</f>
        <v>135675</v>
      </c>
      <c r="C354" s="201">
        <f>'INVENTARIO PISO '!I322</f>
        <v>0</v>
      </c>
    </row>
    <row r="355" spans="2:3" x14ac:dyDescent="0.3">
      <c r="B355" s="338">
        <f>'INVENTARIO PISO '!A323</f>
        <v>0</v>
      </c>
      <c r="C355" s="201">
        <f>'INVENTARIO PISO '!I323</f>
        <v>0</v>
      </c>
    </row>
    <row r="356" spans="2:3" x14ac:dyDescent="0.3">
      <c r="B356" s="338">
        <f>'INVENTARIO PISO '!A324</f>
        <v>0</v>
      </c>
      <c r="C356" s="201">
        <f>'INVENTARIO PISO '!I324</f>
        <v>0</v>
      </c>
    </row>
    <row r="357" spans="2:3" x14ac:dyDescent="0.3">
      <c r="B357" s="338">
        <f>'INVENTARIO PISO '!A325</f>
        <v>0</v>
      </c>
      <c r="C357" s="201">
        <f>'INVENTARIO PISO '!I325</f>
        <v>0</v>
      </c>
    </row>
    <row r="358" spans="2:3" x14ac:dyDescent="0.3">
      <c r="B358" s="338">
        <f>'INVENTARIO PISO '!A326</f>
        <v>0</v>
      </c>
      <c r="C358" s="201">
        <f>'INVENTARIO PISO '!I326</f>
        <v>0</v>
      </c>
    </row>
    <row r="359" spans="2:3" x14ac:dyDescent="0.3">
      <c r="B359" s="338">
        <f>'INVENTARIO PISO '!A327</f>
        <v>0</v>
      </c>
      <c r="C359" s="201">
        <f>'INVENTARIO PISO '!I327</f>
        <v>0</v>
      </c>
    </row>
    <row r="360" spans="2:3" x14ac:dyDescent="0.3">
      <c r="B360" s="338">
        <f>'INVENTARIO PISO '!A328</f>
        <v>0</v>
      </c>
      <c r="C360" s="201">
        <f>'INVENTARIO PISO '!I328</f>
        <v>0</v>
      </c>
    </row>
    <row r="361" spans="2:3" x14ac:dyDescent="0.3">
      <c r="B361" s="338">
        <f>'INVENTARIO PISO '!A329</f>
        <v>0</v>
      </c>
      <c r="C361" s="201">
        <f>'INVENTARIO PISO '!I329</f>
        <v>0</v>
      </c>
    </row>
    <row r="362" spans="2:3" x14ac:dyDescent="0.3">
      <c r="B362" s="338">
        <f>'INVENTARIO PISO '!A330</f>
        <v>0</v>
      </c>
      <c r="C362" s="201">
        <f>'INVENTARIO PISO '!I330</f>
        <v>0</v>
      </c>
    </row>
    <row r="363" spans="2:3" x14ac:dyDescent="0.3">
      <c r="B363" s="338">
        <f>'INVENTARIO PISO '!A331</f>
        <v>0</v>
      </c>
      <c r="C363" s="201">
        <f>'INVENTARIO PISO '!I331</f>
        <v>0</v>
      </c>
    </row>
    <row r="364" spans="2:3" x14ac:dyDescent="0.3">
      <c r="B364" s="338">
        <f>'INVENTARIO PISO '!A332</f>
        <v>0</v>
      </c>
      <c r="C364" s="201">
        <f>'INVENTARIO PISO '!I332</f>
        <v>0</v>
      </c>
    </row>
    <row r="365" spans="2:3" x14ac:dyDescent="0.3">
      <c r="B365" s="338">
        <f>'INVENTARIO PISO '!A333</f>
        <v>0</v>
      </c>
      <c r="C365" s="201">
        <f>'INVENTARIO PISO '!I333</f>
        <v>0</v>
      </c>
    </row>
    <row r="366" spans="2:3" x14ac:dyDescent="0.3">
      <c r="B366" s="338">
        <f>'INVENTARIO PISO '!A334</f>
        <v>0</v>
      </c>
      <c r="C366" s="201">
        <f>'INVENTARIO PISO '!I334</f>
        <v>0</v>
      </c>
    </row>
    <row r="367" spans="2:3" x14ac:dyDescent="0.3">
      <c r="B367" s="338">
        <f>'INVENTARIO PISO '!A335</f>
        <v>0</v>
      </c>
      <c r="C367" s="201">
        <f>'INVENTARIO PISO '!I335</f>
        <v>0</v>
      </c>
    </row>
    <row r="368" spans="2:3" x14ac:dyDescent="0.3">
      <c r="B368" s="338">
        <f>'INVENTARIO PISO '!A336</f>
        <v>0</v>
      </c>
      <c r="C368" s="201">
        <f>'INVENTARIO PISO '!I336</f>
        <v>0</v>
      </c>
    </row>
    <row r="369" spans="2:3" x14ac:dyDescent="0.3">
      <c r="B369" s="338">
        <f>'INVENTARIO PISO '!A337</f>
        <v>0</v>
      </c>
      <c r="C369" s="201">
        <f>'INVENTARIO PISO '!I337</f>
        <v>0</v>
      </c>
    </row>
    <row r="370" spans="2:3" x14ac:dyDescent="0.3">
      <c r="B370" s="338">
        <f>'INVENTARIO PISO '!A338</f>
        <v>0</v>
      </c>
      <c r="C370" s="201">
        <f>'INVENTARIO PISO '!I338</f>
        <v>0</v>
      </c>
    </row>
    <row r="371" spans="2:3" x14ac:dyDescent="0.3">
      <c r="B371" s="338">
        <f>'INVENTARIO PISO '!A339</f>
        <v>0</v>
      </c>
      <c r="C371" s="201">
        <f>'INVENTARIO PISO '!I339</f>
        <v>0</v>
      </c>
    </row>
    <row r="372" spans="2:3" x14ac:dyDescent="0.3">
      <c r="B372" s="338">
        <f>'INVENTARIO PISO '!A340</f>
        <v>0</v>
      </c>
      <c r="C372" s="201">
        <f>'INVENTARIO PISO '!I340</f>
        <v>0</v>
      </c>
    </row>
    <row r="373" spans="2:3" x14ac:dyDescent="0.3">
      <c r="B373" s="338">
        <f>'INVENTARIO PISO '!A341</f>
        <v>0</v>
      </c>
      <c r="C373" s="201">
        <f>'INVENTARIO PISO '!I341</f>
        <v>0</v>
      </c>
    </row>
    <row r="374" spans="2:3" x14ac:dyDescent="0.3">
      <c r="B374" s="338">
        <f>'INVENTARIO PISO '!A342</f>
        <v>0</v>
      </c>
      <c r="C374" s="201">
        <f>'INVENTARIO PISO '!I342</f>
        <v>0</v>
      </c>
    </row>
    <row r="375" spans="2:3" x14ac:dyDescent="0.3">
      <c r="B375" s="338">
        <f>'INVENTARIO PISO '!A343</f>
        <v>0</v>
      </c>
      <c r="C375" s="201">
        <f>'INVENTARIO PISO '!I343</f>
        <v>0</v>
      </c>
    </row>
    <row r="376" spans="2:3" hidden="1" x14ac:dyDescent="0.3">
      <c r="B376" s="338" t="str">
        <f>'INVENTARIO PISO '!A344</f>
        <v>*</v>
      </c>
      <c r="C376" s="201">
        <f>'INVENTARIO PISO '!I344</f>
        <v>0</v>
      </c>
    </row>
    <row r="377" spans="2:3" x14ac:dyDescent="0.3">
      <c r="B377" s="338">
        <f>'INVENTARIO PISO '!A345</f>
        <v>0</v>
      </c>
      <c r="C377" s="201">
        <f>'INVENTARIO PISO '!I345</f>
        <v>0</v>
      </c>
    </row>
    <row r="378" spans="2:3" x14ac:dyDescent="0.3">
      <c r="B378" s="338">
        <f>'INVENTARIO PISO '!A346</f>
        <v>160289</v>
      </c>
      <c r="C378" s="201">
        <f>'INVENTARIO PISO '!I346</f>
        <v>30</v>
      </c>
    </row>
    <row r="379" spans="2:3" x14ac:dyDescent="0.3">
      <c r="B379" s="338">
        <f>'INVENTARIO PISO '!A347</f>
        <v>92881</v>
      </c>
      <c r="C379" s="201">
        <f>'INVENTARIO PISO '!I347</f>
        <v>0</v>
      </c>
    </row>
    <row r="380" spans="2:3" x14ac:dyDescent="0.3">
      <c r="B380" s="338">
        <f>'INVENTARIO PISO '!A348</f>
        <v>0</v>
      </c>
      <c r="C380" s="201">
        <f>'INVENTARIO PISO '!I348</f>
        <v>0</v>
      </c>
    </row>
    <row r="381" spans="2:3" x14ac:dyDescent="0.3">
      <c r="B381" s="338">
        <f>'INVENTARIO PISO '!A349</f>
        <v>0</v>
      </c>
      <c r="C381" s="201">
        <f>'INVENTARIO PISO '!I349</f>
        <v>0</v>
      </c>
    </row>
    <row r="382" spans="2:3" x14ac:dyDescent="0.3">
      <c r="B382" s="338">
        <f>'INVENTARIO PISO '!A350</f>
        <v>0</v>
      </c>
      <c r="C382" s="201">
        <f>'INVENTARIO PISO '!I350</f>
        <v>0</v>
      </c>
    </row>
    <row r="383" spans="2:3" x14ac:dyDescent="0.3">
      <c r="B383" s="338">
        <f>'INVENTARIO PISO '!A351</f>
        <v>0</v>
      </c>
      <c r="C383" s="201">
        <f>'INVENTARIO PISO '!I351</f>
        <v>0</v>
      </c>
    </row>
    <row r="384" spans="2:3" x14ac:dyDescent="0.3">
      <c r="B384" s="338">
        <f>'INVENTARIO PISO '!A352</f>
        <v>0</v>
      </c>
      <c r="C384" s="201">
        <f>'INVENTARIO PISO '!I352</f>
        <v>0</v>
      </c>
    </row>
    <row r="385" spans="2:3" x14ac:dyDescent="0.3">
      <c r="B385" s="338">
        <f>'INVENTARIO PISO '!A353</f>
        <v>0</v>
      </c>
      <c r="C385" s="201">
        <f>'INVENTARIO PISO '!I353</f>
        <v>0</v>
      </c>
    </row>
    <row r="386" spans="2:3" x14ac:dyDescent="0.3">
      <c r="B386" s="338">
        <f>'INVENTARIO PISO '!A354</f>
        <v>0</v>
      </c>
      <c r="C386" s="201">
        <f>'INVENTARIO PISO '!I354</f>
        <v>0</v>
      </c>
    </row>
    <row r="387" spans="2:3" x14ac:dyDescent="0.3">
      <c r="B387" s="338">
        <f>'INVENTARIO PISO '!A355</f>
        <v>0</v>
      </c>
      <c r="C387" s="201">
        <f>'INVENTARIO PISO '!I355</f>
        <v>0</v>
      </c>
    </row>
    <row r="388" spans="2:3" x14ac:dyDescent="0.3">
      <c r="B388" s="338">
        <f>'INVENTARIO PISO '!A356</f>
        <v>0</v>
      </c>
      <c r="C388" s="201">
        <f>'INVENTARIO PISO '!I356</f>
        <v>0</v>
      </c>
    </row>
    <row r="389" spans="2:3" x14ac:dyDescent="0.3">
      <c r="B389" s="338">
        <f>'INVENTARIO PISO '!A357</f>
        <v>0</v>
      </c>
      <c r="C389" s="201">
        <f>'INVENTARIO PISO '!I357</f>
        <v>0</v>
      </c>
    </row>
    <row r="390" spans="2:3" x14ac:dyDescent="0.3">
      <c r="B390" s="338">
        <f>'INVENTARIO PISO '!A358</f>
        <v>0</v>
      </c>
      <c r="C390" s="201">
        <f>'INVENTARIO PISO '!I358</f>
        <v>0</v>
      </c>
    </row>
    <row r="391" spans="2:3" x14ac:dyDescent="0.3">
      <c r="B391" s="338">
        <f>'INVENTARIO PISO '!A359</f>
        <v>0</v>
      </c>
      <c r="C391" s="201">
        <f>'INVENTARIO PISO '!I359</f>
        <v>0</v>
      </c>
    </row>
    <row r="392" spans="2:3" x14ac:dyDescent="0.3">
      <c r="B392" s="338">
        <f>'INVENTARIO PISO '!A360</f>
        <v>0</v>
      </c>
      <c r="C392" s="201">
        <f>'INVENTARIO PISO '!I360</f>
        <v>0</v>
      </c>
    </row>
    <row r="393" spans="2:3" x14ac:dyDescent="0.3">
      <c r="B393" s="338">
        <f>'INVENTARIO PISO '!A361</f>
        <v>0</v>
      </c>
      <c r="C393" s="201">
        <f>'INVENTARIO PISO '!I361</f>
        <v>0</v>
      </c>
    </row>
    <row r="394" spans="2:3" x14ac:dyDescent="0.3">
      <c r="B394" s="338">
        <f>'INVENTARIO PISO '!A362</f>
        <v>0</v>
      </c>
      <c r="C394" s="201">
        <f>'INVENTARIO PISO '!I362</f>
        <v>0</v>
      </c>
    </row>
    <row r="395" spans="2:3" x14ac:dyDescent="0.3">
      <c r="B395" s="338">
        <f>'INVENTARIO PISO '!A363</f>
        <v>0</v>
      </c>
      <c r="C395" s="201">
        <f>'INVENTARIO PISO '!I363</f>
        <v>0</v>
      </c>
    </row>
    <row r="396" spans="2:3" x14ac:dyDescent="0.3">
      <c r="B396" s="338">
        <f>'INVENTARIO PISO '!A364</f>
        <v>0</v>
      </c>
      <c r="C396" s="201">
        <f>'INVENTARIO PISO '!I364</f>
        <v>0</v>
      </c>
    </row>
    <row r="397" spans="2:3" x14ac:dyDescent="0.3">
      <c r="B397" s="338">
        <f>'INVENTARIO PISO '!A365</f>
        <v>0</v>
      </c>
      <c r="C397" s="201">
        <f>'INVENTARIO PISO '!I365</f>
        <v>0</v>
      </c>
    </row>
    <row r="398" spans="2:3" hidden="1" x14ac:dyDescent="0.3">
      <c r="B398" s="338" t="e">
        <f>'INVENTARIO PISO '!A366</f>
        <v>#REF!</v>
      </c>
      <c r="C398" s="201">
        <f>'INVENTARIO PISO '!I366</f>
        <v>0</v>
      </c>
    </row>
    <row r="399" spans="2:3" x14ac:dyDescent="0.3">
      <c r="B399" s="338">
        <f>'INVENTARIO PISO '!A367</f>
        <v>0</v>
      </c>
      <c r="C399" s="201">
        <f>'INVENTARIO PISO '!I367</f>
        <v>0</v>
      </c>
    </row>
    <row r="400" spans="2:3" hidden="1" x14ac:dyDescent="0.3">
      <c r="B400" s="338" t="str">
        <f>'INVENTARIO PISO '!A368</f>
        <v>*</v>
      </c>
      <c r="C400" s="201">
        <f>'INVENTARIO PISO '!I368</f>
        <v>0</v>
      </c>
    </row>
    <row r="401" spans="2:3" x14ac:dyDescent="0.3">
      <c r="B401" s="338">
        <f>'INVENTARIO PISO '!A369</f>
        <v>120193</v>
      </c>
      <c r="C401" s="201">
        <f>'INVENTARIO PISO '!I369</f>
        <v>0</v>
      </c>
    </row>
    <row r="402" spans="2:3" x14ac:dyDescent="0.3">
      <c r="B402" s="338">
        <f>'INVENTARIO PISO '!A370</f>
        <v>120194</v>
      </c>
      <c r="C402" s="201">
        <f>'INVENTARIO PISO '!I370</f>
        <v>0</v>
      </c>
    </row>
    <row r="403" spans="2:3" x14ac:dyDescent="0.3">
      <c r="B403" s="338">
        <f>'INVENTARIO PISO '!A371</f>
        <v>0</v>
      </c>
      <c r="C403" s="201">
        <f>'INVENTARIO PISO '!I371</f>
        <v>0</v>
      </c>
    </row>
    <row r="404" spans="2:3" x14ac:dyDescent="0.3">
      <c r="B404" s="338">
        <f>'INVENTARIO PISO '!A372</f>
        <v>120202</v>
      </c>
      <c r="C404" s="201">
        <f>'INVENTARIO PISO '!I372</f>
        <v>957</v>
      </c>
    </row>
    <row r="405" spans="2:3" x14ac:dyDescent="0.3">
      <c r="B405" s="338">
        <f>'INVENTARIO PISO '!A373</f>
        <v>0</v>
      </c>
      <c r="C405" s="201">
        <f>'INVENTARIO PISO '!I373</f>
        <v>0</v>
      </c>
    </row>
    <row r="406" spans="2:3" x14ac:dyDescent="0.3">
      <c r="B406" s="338">
        <f>'INVENTARIO PISO '!A374</f>
        <v>0</v>
      </c>
      <c r="C406" s="201">
        <f>'INVENTARIO PISO '!I374</f>
        <v>0</v>
      </c>
    </row>
    <row r="407" spans="2:3" x14ac:dyDescent="0.3">
      <c r="B407" s="338">
        <f>'INVENTARIO PISO '!A375</f>
        <v>0</v>
      </c>
      <c r="C407" s="201">
        <f>'INVENTARIO PISO '!I375</f>
        <v>0</v>
      </c>
    </row>
    <row r="408" spans="2:3" x14ac:dyDescent="0.3">
      <c r="B408" s="338">
        <f>'INVENTARIO PISO '!A376</f>
        <v>0</v>
      </c>
      <c r="C408" s="201">
        <f>'INVENTARIO PISO '!I376</f>
        <v>0</v>
      </c>
    </row>
    <row r="409" spans="2:3" x14ac:dyDescent="0.3">
      <c r="B409" s="338">
        <f>'INVENTARIO PISO '!A377</f>
        <v>0</v>
      </c>
      <c r="C409" s="201">
        <f>'INVENTARIO PISO '!I377</f>
        <v>0</v>
      </c>
    </row>
    <row r="410" spans="2:3" hidden="1" x14ac:dyDescent="0.3">
      <c r="B410" s="338" t="str">
        <f>'INVENTARIO PISO '!A378</f>
        <v>*</v>
      </c>
      <c r="C410" s="201">
        <f>'INVENTARIO PISO '!I378</f>
        <v>0</v>
      </c>
    </row>
    <row r="411" spans="2:3" x14ac:dyDescent="0.3">
      <c r="B411" s="338">
        <f>'INVENTARIO PISO '!A379</f>
        <v>120131</v>
      </c>
      <c r="C411" s="201">
        <f>'INVENTARIO PISO '!I379</f>
        <v>7.666666666666667</v>
      </c>
    </row>
    <row r="412" spans="2:3" x14ac:dyDescent="0.3">
      <c r="B412" s="338">
        <f>'INVENTARIO PISO '!A380</f>
        <v>120129</v>
      </c>
      <c r="C412" s="201">
        <f>'INVENTARIO PISO '!I380</f>
        <v>46.333333333333385</v>
      </c>
    </row>
    <row r="413" spans="2:3" x14ac:dyDescent="0.3">
      <c r="B413" s="338">
        <f>'INVENTARIO PISO '!A381</f>
        <v>120132</v>
      </c>
      <c r="C413" s="201">
        <f>'INVENTARIO PISO '!I381</f>
        <v>0</v>
      </c>
    </row>
    <row r="414" spans="2:3" x14ac:dyDescent="0.3">
      <c r="B414" s="338">
        <f>'INVENTARIO PISO '!A382</f>
        <v>120128</v>
      </c>
      <c r="C414" s="201">
        <f>'INVENTARIO PISO '!I382</f>
        <v>10</v>
      </c>
    </row>
    <row r="415" spans="2:3" x14ac:dyDescent="0.3">
      <c r="B415" s="338">
        <f>'INVENTARIO PISO '!A383</f>
        <v>120130</v>
      </c>
      <c r="C415" s="201">
        <f>'INVENTARIO PISO '!I383</f>
        <v>0.16666666666666666</v>
      </c>
    </row>
    <row r="416" spans="2:3" hidden="1" x14ac:dyDescent="0.3">
      <c r="B416" s="338" t="str">
        <f>'INVENTARIO PISO '!A384</f>
        <v>*</v>
      </c>
      <c r="C416" s="201">
        <f>'INVENTARIO PISO '!I384</f>
        <v>0</v>
      </c>
    </row>
    <row r="417" spans="2:3" x14ac:dyDescent="0.3">
      <c r="B417" s="338">
        <f>'INVENTARIO PISO '!A385</f>
        <v>0</v>
      </c>
      <c r="C417" s="201">
        <f>'INVENTARIO PISO '!I385</f>
        <v>0</v>
      </c>
    </row>
    <row r="418" spans="2:3" x14ac:dyDescent="0.3">
      <c r="B418" s="338">
        <f>'INVENTARIO PISO '!A386</f>
        <v>136399</v>
      </c>
      <c r="C418" s="201">
        <f>'INVENTARIO PISO '!I386</f>
        <v>10.749999999999998</v>
      </c>
    </row>
    <row r="419" spans="2:3" x14ac:dyDescent="0.3">
      <c r="B419" s="338">
        <f>'INVENTARIO PISO '!A387</f>
        <v>135767</v>
      </c>
      <c r="C419" s="201">
        <f>'INVENTARIO PISO '!I387</f>
        <v>1.7500000000000004</v>
      </c>
    </row>
    <row r="420" spans="2:3" x14ac:dyDescent="0.3">
      <c r="B420" s="338">
        <f>'INVENTARIO PISO '!A388</f>
        <v>0</v>
      </c>
      <c r="C420" s="201">
        <f>'INVENTARIO PISO '!I388</f>
        <v>0</v>
      </c>
    </row>
    <row r="421" spans="2:3" x14ac:dyDescent="0.3">
      <c r="B421" s="338">
        <f>'INVENTARIO PISO '!A389</f>
        <v>0</v>
      </c>
      <c r="C421" s="201">
        <f>'INVENTARIO PISO '!I389</f>
        <v>0</v>
      </c>
    </row>
    <row r="422" spans="2:3" x14ac:dyDescent="0.3">
      <c r="B422" s="338">
        <f>'INVENTARIO PISO '!A390</f>
        <v>0</v>
      </c>
      <c r="C422" s="201">
        <f>'INVENTARIO PISO '!I390</f>
        <v>0</v>
      </c>
    </row>
    <row r="423" spans="2:3" x14ac:dyDescent="0.3">
      <c r="B423" s="338">
        <f>'INVENTARIO PISO '!A391</f>
        <v>0</v>
      </c>
      <c r="C423" s="201">
        <f>'INVENTARIO PISO '!I391</f>
        <v>0</v>
      </c>
    </row>
    <row r="424" spans="2:3" x14ac:dyDescent="0.3">
      <c r="B424" s="338">
        <f>'INVENTARIO PISO '!A392</f>
        <v>0</v>
      </c>
      <c r="C424" s="201">
        <f>'INVENTARIO PISO '!I392</f>
        <v>0</v>
      </c>
    </row>
    <row r="425" spans="2:3" x14ac:dyDescent="0.3">
      <c r="B425" s="338">
        <f>'INVENTARIO PISO '!A393</f>
        <v>0</v>
      </c>
      <c r="C425" s="201">
        <f>'INVENTARIO PISO '!I393</f>
        <v>0</v>
      </c>
    </row>
    <row r="426" spans="2:3" x14ac:dyDescent="0.3">
      <c r="B426" s="338">
        <f>'INVENTARIO PISO '!A394</f>
        <v>0</v>
      </c>
      <c r="C426" s="201">
        <f>'INVENTARIO PISO '!I394</f>
        <v>0</v>
      </c>
    </row>
    <row r="427" spans="2:3" x14ac:dyDescent="0.3">
      <c r="B427" s="338">
        <f>'INVENTARIO PISO '!A395</f>
        <v>0</v>
      </c>
      <c r="C427" s="201">
        <f>'INVENTARIO PISO '!I395</f>
        <v>0</v>
      </c>
    </row>
    <row r="428" spans="2:3" x14ac:dyDescent="0.3">
      <c r="B428" s="338">
        <f>'INVENTARIO PISO '!A396</f>
        <v>0</v>
      </c>
      <c r="C428" s="201">
        <f>'INVENTARIO PISO '!I396</f>
        <v>0</v>
      </c>
    </row>
    <row r="429" spans="2:3" x14ac:dyDescent="0.3">
      <c r="B429" s="338">
        <f>'INVENTARIO PISO '!A397</f>
        <v>0</v>
      </c>
      <c r="C429" s="201">
        <f>'INVENTARIO PISO '!I397</f>
        <v>0</v>
      </c>
    </row>
    <row r="430" spans="2:3" x14ac:dyDescent="0.3">
      <c r="B430" s="338">
        <f>'INVENTARIO PISO '!A398</f>
        <v>0</v>
      </c>
      <c r="C430" s="201">
        <f>'INVENTARIO PISO '!I398</f>
        <v>0</v>
      </c>
    </row>
    <row r="431" spans="2:3" x14ac:dyDescent="0.3">
      <c r="B431" s="338">
        <f>'INVENTARIO PISO '!A399</f>
        <v>0</v>
      </c>
      <c r="C431" s="201">
        <f>'INVENTARIO PISO '!I399</f>
        <v>0</v>
      </c>
    </row>
    <row r="432" spans="2:3" x14ac:dyDescent="0.3">
      <c r="B432" s="338">
        <f>'INVENTARIO PISO '!A400</f>
        <v>160029</v>
      </c>
      <c r="C432" s="201">
        <f>'INVENTARIO PISO '!I400</f>
        <v>42.250000000000007</v>
      </c>
    </row>
    <row r="433" spans="2:3" x14ac:dyDescent="0.3">
      <c r="B433" s="338">
        <f>'INVENTARIO PISO '!A401</f>
        <v>0</v>
      </c>
      <c r="C433" s="201">
        <f>'INVENTARIO PISO '!I401</f>
        <v>0</v>
      </c>
    </row>
    <row r="434" spans="2:3" x14ac:dyDescent="0.3">
      <c r="B434" s="338">
        <f>'INVENTARIO PISO '!A402</f>
        <v>0</v>
      </c>
      <c r="C434" s="201">
        <f>'INVENTARIO PISO '!I402</f>
        <v>0</v>
      </c>
    </row>
    <row r="435" spans="2:3" x14ac:dyDescent="0.3">
      <c r="B435" s="338">
        <f>'INVENTARIO PISO '!A403</f>
        <v>0</v>
      </c>
      <c r="C435" s="201">
        <f>'INVENTARIO PISO '!I403</f>
        <v>0</v>
      </c>
    </row>
    <row r="436" spans="2:3" x14ac:dyDescent="0.3">
      <c r="B436" s="338">
        <f>'INVENTARIO PISO '!A404</f>
        <v>0</v>
      </c>
      <c r="C436" s="201">
        <f>'INVENTARIO PISO '!I404</f>
        <v>0</v>
      </c>
    </row>
    <row r="437" spans="2:3" x14ac:dyDescent="0.3">
      <c r="B437" s="338">
        <f>'INVENTARIO PISO '!A405</f>
        <v>0</v>
      </c>
      <c r="C437" s="201">
        <f>'INVENTARIO PISO '!I405</f>
        <v>0</v>
      </c>
    </row>
    <row r="438" spans="2:3" x14ac:dyDescent="0.3">
      <c r="B438" s="338">
        <f>'INVENTARIO PISO '!A406</f>
        <v>0</v>
      </c>
      <c r="C438" s="201">
        <f>'INVENTARIO PISO '!I406</f>
        <v>0</v>
      </c>
    </row>
    <row r="439" spans="2:3" x14ac:dyDescent="0.3">
      <c r="B439" s="338">
        <f>'INVENTARIO PISO '!A407</f>
        <v>136689</v>
      </c>
      <c r="C439" s="201">
        <f>'INVENTARIO PISO '!I407</f>
        <v>8</v>
      </c>
    </row>
    <row r="440" spans="2:3" x14ac:dyDescent="0.3">
      <c r="B440" s="338">
        <f>'INVENTARIO PISO '!A408</f>
        <v>136690</v>
      </c>
      <c r="C440" s="201">
        <f>'INVENTARIO PISO '!I408</f>
        <v>54</v>
      </c>
    </row>
    <row r="441" spans="2:3" x14ac:dyDescent="0.3">
      <c r="B441" s="338">
        <f>'INVENTARIO PISO '!A409</f>
        <v>120207</v>
      </c>
      <c r="C441" s="201">
        <f>'INVENTARIO PISO '!I409</f>
        <v>0</v>
      </c>
    </row>
    <row r="442" spans="2:3" x14ac:dyDescent="0.3">
      <c r="B442" s="338">
        <f>'INVENTARIO PISO '!A410</f>
        <v>136730</v>
      </c>
      <c r="C442" s="201">
        <f>'INVENTARIO PISO '!I410</f>
        <v>0</v>
      </c>
    </row>
    <row r="443" spans="2:3" x14ac:dyDescent="0.3">
      <c r="B443" s="338">
        <f>'INVENTARIO PISO '!A411</f>
        <v>56841</v>
      </c>
      <c r="C443" s="201">
        <f>'INVENTARIO PISO '!I411</f>
        <v>262.83333333333354</v>
      </c>
    </row>
    <row r="444" spans="2:3" x14ac:dyDescent="0.3">
      <c r="B444" s="338">
        <f>'INVENTARIO PISO '!A412</f>
        <v>56842</v>
      </c>
      <c r="C444" s="201">
        <f>'INVENTARIO PISO '!I412</f>
        <v>127.50000000000001</v>
      </c>
    </row>
    <row r="445" spans="2:3" x14ac:dyDescent="0.3">
      <c r="B445" s="338">
        <f>'INVENTARIO PISO '!A413</f>
        <v>0</v>
      </c>
      <c r="C445" s="201">
        <f>'INVENTARIO PISO '!I413</f>
        <v>0</v>
      </c>
    </row>
    <row r="446" spans="2:3" x14ac:dyDescent="0.3">
      <c r="B446" s="338">
        <f>'INVENTARIO PISO '!A414</f>
        <v>0</v>
      </c>
      <c r="C446" s="201">
        <f>'INVENTARIO PISO '!I414</f>
        <v>0</v>
      </c>
    </row>
    <row r="447" spans="2:3" x14ac:dyDescent="0.3">
      <c r="B447" s="338">
        <f>'INVENTARIO PISO '!A415</f>
        <v>0</v>
      </c>
      <c r="C447" s="201">
        <f>'INVENTARIO PISO '!I415</f>
        <v>0</v>
      </c>
    </row>
    <row r="448" spans="2:3" x14ac:dyDescent="0.3">
      <c r="B448" s="338">
        <f>'INVENTARIO PISO '!A416</f>
        <v>0</v>
      </c>
      <c r="C448" s="201">
        <f>'INVENTARIO PISO '!I416</f>
        <v>0</v>
      </c>
    </row>
    <row r="449" spans="2:3" x14ac:dyDescent="0.3">
      <c r="B449" s="338">
        <f>'INVENTARIO PISO '!A417</f>
        <v>0</v>
      </c>
      <c r="C449" s="201">
        <f>'INVENTARIO PISO '!I417</f>
        <v>0</v>
      </c>
    </row>
    <row r="450" spans="2:3" x14ac:dyDescent="0.3">
      <c r="B450" s="338">
        <f>'INVENTARIO PISO '!A418</f>
        <v>0</v>
      </c>
      <c r="C450" s="201">
        <f>'INVENTARIO PISO '!I418</f>
        <v>0</v>
      </c>
    </row>
    <row r="451" spans="2:3" x14ac:dyDescent="0.3">
      <c r="B451" s="338">
        <f>'INVENTARIO PISO '!A419</f>
        <v>0</v>
      </c>
      <c r="C451" s="201">
        <f>'INVENTARIO PISO '!I419</f>
        <v>0</v>
      </c>
    </row>
    <row r="452" spans="2:3" x14ac:dyDescent="0.3">
      <c r="B452" s="338">
        <f>'INVENTARIO PISO '!A420</f>
        <v>0</v>
      </c>
      <c r="C452" s="201">
        <f>'INVENTARIO PISO '!I420</f>
        <v>0</v>
      </c>
    </row>
    <row r="453" spans="2:3" x14ac:dyDescent="0.3">
      <c r="B453" s="338">
        <f>'INVENTARIO PISO '!A421</f>
        <v>0</v>
      </c>
      <c r="C453" s="201">
        <f>'INVENTARIO PISO '!I421</f>
        <v>0</v>
      </c>
    </row>
    <row r="454" spans="2:3" x14ac:dyDescent="0.3">
      <c r="B454" s="338">
        <f>'INVENTARIO PISO '!A422</f>
        <v>56781</v>
      </c>
      <c r="C454" s="201">
        <f>'INVENTARIO PISO '!I422</f>
        <v>31</v>
      </c>
    </row>
    <row r="455" spans="2:3" x14ac:dyDescent="0.3">
      <c r="B455" s="338">
        <f>'INVENTARIO PISO '!A423</f>
        <v>56751</v>
      </c>
      <c r="C455" s="201">
        <f>'INVENTARIO PISO '!I423</f>
        <v>19</v>
      </c>
    </row>
    <row r="456" spans="2:3" x14ac:dyDescent="0.3">
      <c r="B456" s="338">
        <f>'INVENTARIO PISO '!A424</f>
        <v>136656</v>
      </c>
      <c r="C456" s="201">
        <f>'INVENTARIO PISO '!I424</f>
        <v>0</v>
      </c>
    </row>
    <row r="457" spans="2:3" x14ac:dyDescent="0.3">
      <c r="B457" s="338">
        <f>'INVENTARIO PISO '!A425</f>
        <v>120025</v>
      </c>
      <c r="C457" s="201">
        <f>'INVENTARIO PISO '!I425</f>
        <v>0</v>
      </c>
    </row>
    <row r="458" spans="2:3" hidden="1" x14ac:dyDescent="0.3">
      <c r="B458" s="338" t="str">
        <f>'INVENTARIO PISO '!A426</f>
        <v>CODIGO</v>
      </c>
      <c r="C458" s="201" t="e">
        <f>'INVENTARIO PISO '!I426</f>
        <v>#VALUE!</v>
      </c>
    </row>
    <row r="459" spans="2:3" x14ac:dyDescent="0.3">
      <c r="B459" s="338">
        <f>'INVENTARIO PISO '!A427</f>
        <v>136468</v>
      </c>
      <c r="C459" s="201">
        <f>'INVENTARIO PISO '!I427</f>
        <v>45</v>
      </c>
    </row>
    <row r="460" spans="2:3" x14ac:dyDescent="0.3">
      <c r="B460" s="338">
        <f>'INVENTARIO PISO '!A428</f>
        <v>136478</v>
      </c>
      <c r="C460" s="201">
        <f>'INVENTARIO PISO '!I428</f>
        <v>519</v>
      </c>
    </row>
    <row r="461" spans="2:3" x14ac:dyDescent="0.3">
      <c r="B461" s="338">
        <f>'INVENTARIO PISO '!A429</f>
        <v>136479</v>
      </c>
      <c r="C461" s="201">
        <f>'INVENTARIO PISO '!I429</f>
        <v>1939</v>
      </c>
    </row>
    <row r="462" spans="2:3" x14ac:dyDescent="0.3">
      <c r="B462" s="338">
        <f>'INVENTARIO PISO '!A430</f>
        <v>136701</v>
      </c>
      <c r="C462" s="201">
        <f>'INVENTARIO PISO '!I430</f>
        <v>39</v>
      </c>
    </row>
    <row r="463" spans="2:3" x14ac:dyDescent="0.3">
      <c r="B463" s="338">
        <f>'INVENTARIO PISO '!A431</f>
        <v>136700</v>
      </c>
      <c r="C463" s="201">
        <f>'INVENTARIO PISO '!I431</f>
        <v>143</v>
      </c>
    </row>
    <row r="464" spans="2:3" x14ac:dyDescent="0.3">
      <c r="B464" s="338">
        <f>'INVENTARIO PISO '!A432</f>
        <v>136487</v>
      </c>
      <c r="C464" s="201">
        <f>'INVENTARIO PISO '!I432</f>
        <v>163</v>
      </c>
    </row>
    <row r="465" spans="2:3" x14ac:dyDescent="0.3">
      <c r="B465" s="338">
        <f>'INVENTARIO PISO '!A433</f>
        <v>136712</v>
      </c>
      <c r="C465" s="201">
        <f>'INVENTARIO PISO '!I433</f>
        <v>607</v>
      </c>
    </row>
    <row r="466" spans="2:3" x14ac:dyDescent="0.3">
      <c r="B466" s="338">
        <f>'INVENTARIO PISO '!A434</f>
        <v>0</v>
      </c>
      <c r="C466" s="201">
        <f>'INVENTARIO PISO '!I434</f>
        <v>0</v>
      </c>
    </row>
    <row r="467" spans="2:3" x14ac:dyDescent="0.3">
      <c r="B467" s="338">
        <f>'INVENTARIO PISO '!A435</f>
        <v>0</v>
      </c>
      <c r="C467" s="201">
        <f>'INVENTARIO PISO '!I435</f>
        <v>0</v>
      </c>
    </row>
    <row r="468" spans="2:3" x14ac:dyDescent="0.3">
      <c r="B468" s="338">
        <f>'INVENTARIO PISO '!A436</f>
        <v>0</v>
      </c>
      <c r="C468" s="201">
        <f>'INVENTARIO PISO '!I436</f>
        <v>0</v>
      </c>
    </row>
    <row r="469" spans="2:3" x14ac:dyDescent="0.3">
      <c r="B469" s="338">
        <f>'INVENTARIO PISO '!A437</f>
        <v>136475</v>
      </c>
      <c r="C469" s="201">
        <f>'INVENTARIO PISO '!I437</f>
        <v>94</v>
      </c>
    </row>
    <row r="470" spans="2:3" x14ac:dyDescent="0.3">
      <c r="B470" s="338">
        <f>'INVENTARIO PISO '!A438</f>
        <v>136675</v>
      </c>
      <c r="C470" s="201">
        <f>'INVENTARIO PISO '!I438</f>
        <v>65</v>
      </c>
    </row>
    <row r="471" spans="2:3" x14ac:dyDescent="0.3">
      <c r="B471" s="338">
        <f>'INVENTARIO PISO '!A439</f>
        <v>136623</v>
      </c>
      <c r="C471" s="201">
        <f>'INVENTARIO PISO '!I439</f>
        <v>0</v>
      </c>
    </row>
    <row r="472" spans="2:3" x14ac:dyDescent="0.3">
      <c r="B472" s="338">
        <f>'INVENTARIO PISO '!A440</f>
        <v>0</v>
      </c>
      <c r="C472" s="201">
        <f>'INVENTARIO PISO '!I440</f>
        <v>0</v>
      </c>
    </row>
    <row r="473" spans="2:3" x14ac:dyDescent="0.3">
      <c r="B473" s="338">
        <f>'INVENTARIO PISO '!A441</f>
        <v>136466</v>
      </c>
      <c r="C473" s="201">
        <f>'INVENTARIO PISO '!I441</f>
        <v>2002</v>
      </c>
    </row>
    <row r="474" spans="2:3" x14ac:dyDescent="0.3">
      <c r="B474" s="338">
        <f>'INVENTARIO PISO '!A442</f>
        <v>136467</v>
      </c>
      <c r="C474" s="201">
        <f>'INVENTARIO PISO '!I442</f>
        <v>502</v>
      </c>
    </row>
    <row r="475" spans="2:3" x14ac:dyDescent="0.3">
      <c r="B475" s="338">
        <f>'INVENTARIO PISO '!A443</f>
        <v>136020</v>
      </c>
      <c r="C475" s="201">
        <f>'INVENTARIO PISO '!I443</f>
        <v>139</v>
      </c>
    </row>
    <row r="476" spans="2:3" x14ac:dyDescent="0.3">
      <c r="B476" s="338">
        <f>'INVENTARIO PISO '!A444</f>
        <v>136024</v>
      </c>
      <c r="C476" s="201">
        <f>'INVENTARIO PISO '!I444</f>
        <v>0</v>
      </c>
    </row>
    <row r="477" spans="2:3" x14ac:dyDescent="0.3">
      <c r="B477" s="338">
        <f>'INVENTARIO PISO '!A445</f>
        <v>136027</v>
      </c>
      <c r="C477" s="201">
        <f>'INVENTARIO PISO '!I445</f>
        <v>106</v>
      </c>
    </row>
    <row r="478" spans="2:3" x14ac:dyDescent="0.3">
      <c r="B478" s="338">
        <f>'INVENTARIO PISO '!A446</f>
        <v>0</v>
      </c>
      <c r="C478" s="201">
        <f>'INVENTARIO PISO '!I446</f>
        <v>0</v>
      </c>
    </row>
    <row r="479" spans="2:3" x14ac:dyDescent="0.3">
      <c r="B479" s="338">
        <f>'INVENTARIO PISO '!A447</f>
        <v>136461</v>
      </c>
      <c r="C479" s="201">
        <f>'INVENTARIO PISO '!I447</f>
        <v>0</v>
      </c>
    </row>
    <row r="480" spans="2:3" x14ac:dyDescent="0.3">
      <c r="B480" s="338">
        <f>'INVENTARIO PISO '!A448</f>
        <v>136462</v>
      </c>
      <c r="C480" s="201">
        <f>'INVENTARIO PISO '!I448</f>
        <v>0</v>
      </c>
    </row>
    <row r="481" spans="2:3" x14ac:dyDescent="0.3">
      <c r="B481" s="338">
        <f>'INVENTARIO PISO '!A449</f>
        <v>136465</v>
      </c>
      <c r="C481" s="201">
        <f>'INVENTARIO PISO '!I449</f>
        <v>0</v>
      </c>
    </row>
    <row r="482" spans="2:3" x14ac:dyDescent="0.3">
      <c r="B482" s="338">
        <f>'INVENTARIO PISO '!A450</f>
        <v>136559</v>
      </c>
      <c r="C482" s="201">
        <f>'INVENTARIO PISO '!I450</f>
        <v>158</v>
      </c>
    </row>
    <row r="483" spans="2:3" x14ac:dyDescent="0.3">
      <c r="B483" s="338">
        <f>'INVENTARIO PISO '!A451</f>
        <v>136560</v>
      </c>
      <c r="C483" s="201">
        <f>'INVENTARIO PISO '!I451</f>
        <v>31</v>
      </c>
    </row>
    <row r="484" spans="2:3" x14ac:dyDescent="0.3">
      <c r="B484" s="338">
        <f>'INVENTARIO PISO '!A452</f>
        <v>136561</v>
      </c>
      <c r="C484" s="201">
        <f>'INVENTARIO PISO '!I452</f>
        <v>67</v>
      </c>
    </row>
    <row r="485" spans="2:3" x14ac:dyDescent="0.3">
      <c r="B485" s="338">
        <f>'INVENTARIO PISO '!A453</f>
        <v>136622</v>
      </c>
      <c r="C485" s="201">
        <f>'INVENTARIO PISO '!I453</f>
        <v>222</v>
      </c>
    </row>
    <row r="486" spans="2:3" x14ac:dyDescent="0.3">
      <c r="B486" s="338">
        <f>'INVENTARIO PISO '!A454</f>
        <v>0</v>
      </c>
      <c r="C486" s="201">
        <f>'INVENTARIO PISO '!I454</f>
        <v>0</v>
      </c>
    </row>
    <row r="487" spans="2:3" x14ac:dyDescent="0.3">
      <c r="B487" s="338">
        <f>'INVENTARIO PISO '!A455</f>
        <v>136474</v>
      </c>
      <c r="C487" s="201">
        <f>'INVENTARIO PISO '!I455</f>
        <v>584</v>
      </c>
    </row>
  </sheetData>
  <autoFilter ref="B37:C487" xr:uid="{00000000-0009-0000-0000-000003000000}">
    <filterColumn colId="0">
      <filters>
        <filter val="0"/>
        <filter val="120023"/>
        <filter val="120025"/>
        <filter val="120027"/>
        <filter val="120057"/>
        <filter val="120112"/>
        <filter val="120116"/>
        <filter val="120117"/>
        <filter val="120118"/>
        <filter val="120119"/>
        <filter val="120120"/>
        <filter val="120128"/>
        <filter val="120129"/>
        <filter val="120130"/>
        <filter val="120131"/>
        <filter val="120132"/>
        <filter val="120133"/>
        <filter val="120134"/>
        <filter val="120135"/>
        <filter val="120136"/>
        <filter val="120137"/>
        <filter val="120148"/>
        <filter val="120156"/>
        <filter val="120158"/>
        <filter val="120159"/>
        <filter val="120160"/>
        <filter val="120161"/>
        <filter val="120175"/>
        <filter val="120181"/>
        <filter val="120182"/>
        <filter val="120183"/>
        <filter val="120188"/>
        <filter val="120190"/>
        <filter val="120191"/>
        <filter val="120194"/>
        <filter val="120196"/>
        <filter val="120207"/>
        <filter val="135662"/>
        <filter val="135663"/>
        <filter val="135664"/>
        <filter val="135666"/>
        <filter val="135675"/>
        <filter val="135676"/>
        <filter val="135678"/>
        <filter val="135685"/>
        <filter val="135755"/>
        <filter val="135757"/>
        <filter val="135759"/>
        <filter val="135760"/>
        <filter val="135762"/>
        <filter val="135763"/>
        <filter val="135766"/>
        <filter val="135767"/>
        <filter val="135770"/>
        <filter val="135772"/>
        <filter val="136020"/>
        <filter val="136024"/>
        <filter val="136027"/>
        <filter val="136113"/>
        <filter val="136133"/>
        <filter val="136159"/>
        <filter val="136204"/>
        <filter val="136247"/>
        <filter val="136397"/>
        <filter val="136399"/>
        <filter val="136402"/>
        <filter val="136461"/>
        <filter val="136462"/>
        <filter val="136465"/>
        <filter val="136466"/>
        <filter val="136467"/>
        <filter val="136468"/>
        <filter val="136474"/>
        <filter val="136475"/>
        <filter val="136478"/>
        <filter val="136479"/>
        <filter val="136487"/>
        <filter val="136559"/>
        <filter val="136560"/>
        <filter val="136561"/>
        <filter val="136622"/>
        <filter val="136623"/>
        <filter val="136656"/>
        <filter val="136675"/>
        <filter val="136689"/>
        <filter val="136690"/>
        <filter val="136700"/>
        <filter val="136701"/>
        <filter val="136712"/>
        <filter val="136730"/>
        <filter val="160008"/>
        <filter val="160014"/>
        <filter val="160029"/>
        <filter val="160033"/>
        <filter val="160040"/>
        <filter val="160046"/>
        <filter val="160047"/>
        <filter val="160048"/>
        <filter val="160052"/>
        <filter val="160053"/>
        <filter val="160054"/>
        <filter val="160060"/>
        <filter val="160063"/>
        <filter val="160069"/>
        <filter val="160070"/>
        <filter val="160080"/>
        <filter val="160081"/>
        <filter val="160099"/>
        <filter val="160100"/>
        <filter val="160101"/>
        <filter val="160102"/>
        <filter val="160121"/>
        <filter val="160122"/>
        <filter val="160124"/>
        <filter val="160151"/>
        <filter val="160168"/>
        <filter val="160170"/>
        <filter val="160186"/>
        <filter val="160187"/>
        <filter val="160188"/>
        <filter val="160192"/>
        <filter val="160200"/>
        <filter val="160201"/>
        <filter val="160223"/>
        <filter val="160240"/>
        <filter val="160241"/>
        <filter val="160259"/>
        <filter val="160289"/>
        <filter val="160297"/>
        <filter val="160318"/>
        <filter val="160378"/>
        <filter val="160479"/>
        <filter val="56452"/>
        <filter val="56453"/>
        <filter val="56490"/>
        <filter val="56498"/>
        <filter val="56622"/>
        <filter val="56623"/>
        <filter val="56625"/>
        <filter val="56627"/>
        <filter val="56651"/>
        <filter val="56702"/>
        <filter val="56705"/>
        <filter val="56706"/>
        <filter val="56709"/>
        <filter val="56711"/>
        <filter val="56751"/>
        <filter val="56781"/>
        <filter val="56820"/>
        <filter val="56841"/>
        <filter val="56842"/>
        <filter val="92736"/>
        <filter val="92740"/>
        <filter val="92757"/>
        <filter val="92764"/>
        <filter val="92768"/>
        <filter val="92769"/>
        <filter val="92770"/>
        <filter val="92787"/>
        <filter val="92793"/>
        <filter val="92794"/>
        <filter val="92795"/>
        <filter val="92881"/>
      </filters>
    </filterColumn>
  </autoFilter>
  <mergeCells count="3">
    <mergeCell ref="B2:C2"/>
    <mergeCell ref="E2:F2"/>
    <mergeCell ref="B3:C3"/>
  </mergeCells>
  <conditionalFormatting sqref="B5:B48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MODIFICAR CODIGOS </vt:lpstr>
      <vt:lpstr>PLANTILLA INV. PISO (0)</vt:lpstr>
      <vt:lpstr>INVENTARIO PISO </vt:lpstr>
      <vt:lpstr>CANTIDADES 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DAVID STIVEN DIAZ TIMARAN</cp:lastModifiedBy>
  <cp:lastPrinted>2024-06-23T02:29:06Z</cp:lastPrinted>
  <dcterms:created xsi:type="dcterms:W3CDTF">2013-10-07T12:45:06Z</dcterms:created>
  <dcterms:modified xsi:type="dcterms:W3CDTF">2026-03-23T14:39:38Z</dcterms:modified>
</cp:coreProperties>
</file>